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1ac4a1a2a814270/"/>
    </mc:Choice>
  </mc:AlternateContent>
  <xr:revisionPtr revIDLastSave="0" documentId="8_{9E6C829E-C84E-4493-B187-749C56052927}" xr6:coauthVersionLast="47" xr6:coauthVersionMax="47" xr10:uidLastSave="{00000000-0000-0000-0000-000000000000}"/>
  <bookViews>
    <workbookView xWindow="-108" yWindow="-108" windowWidth="23256" windowHeight="12456" activeTab="3" xr2:uid="{F7C3F83F-BF26-4135-8A19-701BA2BA687C}"/>
  </bookViews>
  <sheets>
    <sheet name="Final Dashboard" sheetId="6" r:id="rId1"/>
    <sheet name="Lakme" sheetId="7" r:id="rId2"/>
    <sheet name="Sugar" sheetId="9" r:id="rId3"/>
    <sheet name="Nykaa" sheetId="8" r:id="rId4"/>
    <sheet name="Table " sheetId="1" r:id="rId5"/>
    <sheet name="Pivot 1" sheetId="3" r:id="rId6"/>
    <sheet name="Pivot 2" sheetId="4" r:id="rId7"/>
    <sheet name="Pivot 3" sheetId="5" r:id="rId8"/>
    <sheet name="Dashboard" sheetId="2" r:id="rId9"/>
  </sheets>
  <definedNames>
    <definedName name="Slicer_customer_location">#N/A</definedName>
    <definedName name="Slicer_delivery_status">#N/A</definedName>
    <definedName name="Slicer_month">#N/A</definedName>
    <definedName name="Slicer_payment_mode">#N/A</definedName>
    <definedName name="Slicer_product">#N/A</definedName>
    <definedName name="Slicer_sell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01" i="1" l="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alcChain>
</file>

<file path=xl/sharedStrings.xml><?xml version="1.0" encoding="utf-8"?>
<sst xmlns="http://schemas.openxmlformats.org/spreadsheetml/2006/main" count="7255" uniqueCount="1939">
  <si>
    <t>order_id</t>
  </si>
  <si>
    <t>order_date</t>
  </si>
  <si>
    <t>month</t>
  </si>
  <si>
    <t>year</t>
  </si>
  <si>
    <t>cust_id</t>
  </si>
  <si>
    <t>cust_name</t>
  </si>
  <si>
    <t>seller</t>
  </si>
  <si>
    <t>brand</t>
  </si>
  <si>
    <t>product</t>
  </si>
  <si>
    <t>price</t>
  </si>
  <si>
    <t>quantity</t>
  </si>
  <si>
    <t>amount</t>
  </si>
  <si>
    <t>payment_mode</t>
  </si>
  <si>
    <t>delivery_status</t>
  </si>
  <si>
    <t>customer_location</t>
  </si>
  <si>
    <t>discount(%)</t>
  </si>
  <si>
    <t>ORD0001</t>
  </si>
  <si>
    <t>2025-03-24</t>
  </si>
  <si>
    <t>CUST193</t>
  </si>
  <si>
    <t>Customer_60</t>
  </si>
  <si>
    <t>GlowMart</t>
  </si>
  <si>
    <t>Nykaa</t>
  </si>
  <si>
    <t>Nykaa Foundation</t>
  </si>
  <si>
    <t>UPI</t>
  </si>
  <si>
    <t>In Transit</t>
  </si>
  <si>
    <t>Bangalore</t>
  </si>
  <si>
    <t>ORD0002</t>
  </si>
  <si>
    <t>2025-04-21</t>
  </si>
  <si>
    <t>CUST298</t>
  </si>
  <si>
    <t>Customer_182</t>
  </si>
  <si>
    <t>Debit Card</t>
  </si>
  <si>
    <t>Returned</t>
  </si>
  <si>
    <t>Kolkata</t>
  </si>
  <si>
    <t>ORD0003</t>
  </si>
  <si>
    <t>2024-11-25</t>
  </si>
  <si>
    <t>CUST308</t>
  </si>
  <si>
    <t>Customer_145</t>
  </si>
  <si>
    <t>CosmoStore</t>
  </si>
  <si>
    <t>Lakme</t>
  </si>
  <si>
    <t>Lakme Compact</t>
  </si>
  <si>
    <t>Cancelled</t>
  </si>
  <si>
    <t>Pune</t>
  </si>
  <si>
    <t>ORD0004</t>
  </si>
  <si>
    <t>2024-01-01</t>
  </si>
  <si>
    <t>CUST936</t>
  </si>
  <si>
    <t>Customer_150</t>
  </si>
  <si>
    <t>BeautyHub</t>
  </si>
  <si>
    <t>Lakme Blush</t>
  </si>
  <si>
    <t>Delivered</t>
  </si>
  <si>
    <t>ORD0005</t>
  </si>
  <si>
    <t>2024-11-17</t>
  </si>
  <si>
    <t>CUST781</t>
  </si>
  <si>
    <t>Customer_166</t>
  </si>
  <si>
    <t>Nykaa Compact</t>
  </si>
  <si>
    <t>Cash on Delivery</t>
  </si>
  <si>
    <t>Mumbai</t>
  </si>
  <si>
    <t>ORD0006</t>
  </si>
  <si>
    <t>2024-12-06</t>
  </si>
  <si>
    <t>CUST577</t>
  </si>
  <si>
    <t>Customer_226</t>
  </si>
  <si>
    <t>Lakme Eyeliner</t>
  </si>
  <si>
    <t>Credit Card</t>
  </si>
  <si>
    <t>Ahmedabad</t>
  </si>
  <si>
    <t>ORD0007</t>
  </si>
  <si>
    <t>2024-11-21</t>
  </si>
  <si>
    <t>CUST838</t>
  </si>
  <si>
    <t>Customer_73</t>
  </si>
  <si>
    <t>ORD0008</t>
  </si>
  <si>
    <t>2024-12-24</t>
  </si>
  <si>
    <t>CUST643</t>
  </si>
  <si>
    <t>Customer_120</t>
  </si>
  <si>
    <t>Sugar</t>
  </si>
  <si>
    <t>Sugar Eyeliner</t>
  </si>
  <si>
    <t>ORD0009</t>
  </si>
  <si>
    <t>2025-04-08</t>
  </si>
  <si>
    <t>CUST708</t>
  </si>
  <si>
    <t>Customer_229</t>
  </si>
  <si>
    <t>Nykaa Blush</t>
  </si>
  <si>
    <t>Chennai</t>
  </si>
  <si>
    <t>ORD0010</t>
  </si>
  <si>
    <t>2024-11-27</t>
  </si>
  <si>
    <t>CUST772</t>
  </si>
  <si>
    <t>Customer_138</t>
  </si>
  <si>
    <t>Sugar Blush</t>
  </si>
  <si>
    <t>Delhi</t>
  </si>
  <si>
    <t>ORD0011</t>
  </si>
  <si>
    <t>2025-02-12</t>
  </si>
  <si>
    <t>CUST100</t>
  </si>
  <si>
    <t>Customer_237</t>
  </si>
  <si>
    <t>ORD0012</t>
  </si>
  <si>
    <t>2025-07-06</t>
  </si>
  <si>
    <t>CUST523</t>
  </si>
  <si>
    <t>Customer_269</t>
  </si>
  <si>
    <t>ORD0013</t>
  </si>
  <si>
    <t>2024-05-04</t>
  </si>
  <si>
    <t>CUST597</t>
  </si>
  <si>
    <t>Sugar Foundation</t>
  </si>
  <si>
    <t>ORD0014</t>
  </si>
  <si>
    <t>2025-06-13</t>
  </si>
  <si>
    <t>CUST284</t>
  </si>
  <si>
    <t>Customer_227</t>
  </si>
  <si>
    <t>ORD0015</t>
  </si>
  <si>
    <t>2024-07-20</t>
  </si>
  <si>
    <t>CUST970</t>
  </si>
  <si>
    <t>Customer_110</t>
  </si>
  <si>
    <t>ORD0016</t>
  </si>
  <si>
    <t>2025-07-19</t>
  </si>
  <si>
    <t>CUST145</t>
  </si>
  <si>
    <t>Customer_279</t>
  </si>
  <si>
    <t>Nykaa Eyeliner</t>
  </si>
  <si>
    <t>ORD0017</t>
  </si>
  <si>
    <t>2024-03-07</t>
  </si>
  <si>
    <t>CUST960</t>
  </si>
  <si>
    <t>Customer_79</t>
  </si>
  <si>
    <t>Nykaa Lipstick</t>
  </si>
  <si>
    <t>ORD0018</t>
  </si>
  <si>
    <t>2024-10-27</t>
  </si>
  <si>
    <t>CUST376</t>
  </si>
  <si>
    <t>Customer_213</t>
  </si>
  <si>
    <t>Sugar Compact</t>
  </si>
  <si>
    <t>ORD0019</t>
  </si>
  <si>
    <t>2024-10-10</t>
  </si>
  <si>
    <t>CUST571</t>
  </si>
  <si>
    <t>Customer_71</t>
  </si>
  <si>
    <t>Sugar Lipstick</t>
  </si>
  <si>
    <t>Hyderabad</t>
  </si>
  <si>
    <t>ORD0020</t>
  </si>
  <si>
    <t>2024-04-16</t>
  </si>
  <si>
    <t>CUST709</t>
  </si>
  <si>
    <t>Customer_97</t>
  </si>
  <si>
    <t>Lakme Lipstick</t>
  </si>
  <si>
    <t>ORD0021</t>
  </si>
  <si>
    <t>2024-03-01</t>
  </si>
  <si>
    <t>CUST486</t>
  </si>
  <si>
    <t>ORD0022</t>
  </si>
  <si>
    <t>2025-08-08</t>
  </si>
  <si>
    <t>CUST848</t>
  </si>
  <si>
    <t>Customer_86</t>
  </si>
  <si>
    <t>Wallet</t>
  </si>
  <si>
    <t>ORD0023</t>
  </si>
  <si>
    <t>2024-03-18</t>
  </si>
  <si>
    <t>CUST891</t>
  </si>
  <si>
    <t>Customer_80</t>
  </si>
  <si>
    <t>ORD0024</t>
  </si>
  <si>
    <t>2024-01-19</t>
  </si>
  <si>
    <t>CUST127</t>
  </si>
  <si>
    <t>Customer_264</t>
  </si>
  <si>
    <t>ORD0025</t>
  </si>
  <si>
    <t>2024-12-30</t>
  </si>
  <si>
    <t>CUST659</t>
  </si>
  <si>
    <t>Customer_92</t>
  </si>
  <si>
    <t>ORD0026</t>
  </si>
  <si>
    <t>2024-08-28</t>
  </si>
  <si>
    <t>CUST613</t>
  </si>
  <si>
    <t>Customer_194</t>
  </si>
  <si>
    <t>ORD0027</t>
  </si>
  <si>
    <t>2024-03-14</t>
  </si>
  <si>
    <t>CUST744</t>
  </si>
  <si>
    <t>Customer_94</t>
  </si>
  <si>
    <t>ORD0028</t>
  </si>
  <si>
    <t>2024-02-26</t>
  </si>
  <si>
    <t>CUST624</t>
  </si>
  <si>
    <t>ORD0029</t>
  </si>
  <si>
    <t>2024-03-15</t>
  </si>
  <si>
    <t>CUST614</t>
  </si>
  <si>
    <t>Customer_238</t>
  </si>
  <si>
    <t>ORD0030</t>
  </si>
  <si>
    <t>2024-04-04</t>
  </si>
  <si>
    <t>CUST512</t>
  </si>
  <si>
    <t>Customer_48</t>
  </si>
  <si>
    <t>ORD0031</t>
  </si>
  <si>
    <t>2024-11-03</t>
  </si>
  <si>
    <t>CUST594</t>
  </si>
  <si>
    <t>Customer_117</t>
  </si>
  <si>
    <t>ORD0032</t>
  </si>
  <si>
    <t>2025-07-26</t>
  </si>
  <si>
    <t>CUST703</t>
  </si>
  <si>
    <t>ORD0033</t>
  </si>
  <si>
    <t>2024-07-05</t>
  </si>
  <si>
    <t>CUST519</t>
  </si>
  <si>
    <t>ORD0034</t>
  </si>
  <si>
    <t>2024-03-23</t>
  </si>
  <si>
    <t>CUST250</t>
  </si>
  <si>
    <t>Customer_38</t>
  </si>
  <si>
    <t>ORD0035</t>
  </si>
  <si>
    <t>2025-02-07</t>
  </si>
  <si>
    <t>CUST424</t>
  </si>
  <si>
    <t>Customer_280</t>
  </si>
  <si>
    <t>ORD0036</t>
  </si>
  <si>
    <t>2024-08-01</t>
  </si>
  <si>
    <t>Customer_160</t>
  </si>
  <si>
    <t>ORD0037</t>
  </si>
  <si>
    <t>2025-02-25</t>
  </si>
  <si>
    <t>CUST799</t>
  </si>
  <si>
    <t>Customer_231</t>
  </si>
  <si>
    <t>ORD0038</t>
  </si>
  <si>
    <t>2025-05-13</t>
  </si>
  <si>
    <t>CUST543</t>
  </si>
  <si>
    <t>Customer_62</t>
  </si>
  <si>
    <t>ORD0039</t>
  </si>
  <si>
    <t>2024-08-13</t>
  </si>
  <si>
    <t>CUST593</t>
  </si>
  <si>
    <t>Customer_180</t>
  </si>
  <si>
    <t>ORD0040</t>
  </si>
  <si>
    <t>2024-11-05</t>
  </si>
  <si>
    <t>CUST768</t>
  </si>
  <si>
    <t>Customer_233</t>
  </si>
  <si>
    <t>ORD0041</t>
  </si>
  <si>
    <t>2024-02-22</t>
  </si>
  <si>
    <t>CUST453</t>
  </si>
  <si>
    <t>Customer_4</t>
  </si>
  <si>
    <t>ORD0042</t>
  </si>
  <si>
    <t>2024-07-26</t>
  </si>
  <si>
    <t>CUST270</t>
  </si>
  <si>
    <t>Customer_189</t>
  </si>
  <si>
    <t>ORD0043</t>
  </si>
  <si>
    <t>2025-08-21</t>
  </si>
  <si>
    <t>CUST922</t>
  </si>
  <si>
    <t>Customer_131</t>
  </si>
  <si>
    <t>ORD0044</t>
  </si>
  <si>
    <t>2025-06-21</t>
  </si>
  <si>
    <t>CUST275</t>
  </si>
  <si>
    <t>Customer_273</t>
  </si>
  <si>
    <t>ORD0045</t>
  </si>
  <si>
    <t>2024-06-17</t>
  </si>
  <si>
    <t>CUST174</t>
  </si>
  <si>
    <t>Customer_105</t>
  </si>
  <si>
    <t>ORD0046</t>
  </si>
  <si>
    <t>ORD0047</t>
  </si>
  <si>
    <t>2024-04-07</t>
  </si>
  <si>
    <t>CUST686</t>
  </si>
  <si>
    <t>Customer_41</t>
  </si>
  <si>
    <t>ORD0048</t>
  </si>
  <si>
    <t>2024-09-26</t>
  </si>
  <si>
    <t>CUST739</t>
  </si>
  <si>
    <t>ORD0049</t>
  </si>
  <si>
    <t>2024-04-02</t>
  </si>
  <si>
    <t>CUST498</t>
  </si>
  <si>
    <t>Customer_164</t>
  </si>
  <si>
    <t>ORD0050</t>
  </si>
  <si>
    <t>2024-06-03</t>
  </si>
  <si>
    <t>ORD0051</t>
  </si>
  <si>
    <t>2024-10-22</t>
  </si>
  <si>
    <t>CUST117</t>
  </si>
  <si>
    <t>Customer_174</t>
  </si>
  <si>
    <t>ORD0052</t>
  </si>
  <si>
    <t>2024-06-24</t>
  </si>
  <si>
    <t>CUST983</t>
  </si>
  <si>
    <t>Customer_25</t>
  </si>
  <si>
    <t>ORD0053</t>
  </si>
  <si>
    <t>CUST394</t>
  </si>
  <si>
    <t>Customer_205</t>
  </si>
  <si>
    <t>ORD0054</t>
  </si>
  <si>
    <t>2024-06-26</t>
  </si>
  <si>
    <t>CUST418</t>
  </si>
  <si>
    <t>Customer_192</t>
  </si>
  <si>
    <t>ORD0055</t>
  </si>
  <si>
    <t>2024-03-03</t>
  </si>
  <si>
    <t>CUST108</t>
  </si>
  <si>
    <t>Customer_251</t>
  </si>
  <si>
    <t>ORD0056</t>
  </si>
  <si>
    <t>2024-02-06</t>
  </si>
  <si>
    <t>CUST149</t>
  </si>
  <si>
    <t>Customer_55</t>
  </si>
  <si>
    <t>ORD0057</t>
  </si>
  <si>
    <t>2024-03-30</t>
  </si>
  <si>
    <t>CUST962</t>
  </si>
  <si>
    <t>Customer_240</t>
  </si>
  <si>
    <t>ORD0058</t>
  </si>
  <si>
    <t>2025-07-03</t>
  </si>
  <si>
    <t>CUST897</t>
  </si>
  <si>
    <t>Customer_88</t>
  </si>
  <si>
    <t>ORD0059</t>
  </si>
  <si>
    <t>2024-04-15</t>
  </si>
  <si>
    <t>CUST476</t>
  </si>
  <si>
    <t>Customer_214</t>
  </si>
  <si>
    <t>ORD0060</t>
  </si>
  <si>
    <t>CUST158</t>
  </si>
  <si>
    <t>Customer_191</t>
  </si>
  <si>
    <t>ORD0061</t>
  </si>
  <si>
    <t>2024-01-25</t>
  </si>
  <si>
    <t>CUST166</t>
  </si>
  <si>
    <t>Customer_268</t>
  </si>
  <si>
    <t>ORD0062</t>
  </si>
  <si>
    <t>2025-06-05</t>
  </si>
  <si>
    <t>CUST126</t>
  </si>
  <si>
    <t>Customer_111</t>
  </si>
  <si>
    <t>ORD0063</t>
  </si>
  <si>
    <t>2024-09-10</t>
  </si>
  <si>
    <t>CUST181</t>
  </si>
  <si>
    <t>Customer_143</t>
  </si>
  <si>
    <t>ORD0064</t>
  </si>
  <si>
    <t>2024-02-02</t>
  </si>
  <si>
    <t>CUST595</t>
  </si>
  <si>
    <t>Customer_151</t>
  </si>
  <si>
    <t>ORD0065</t>
  </si>
  <si>
    <t>2024-04-19</t>
  </si>
  <si>
    <t>CUST447</t>
  </si>
  <si>
    <t>Customer_197</t>
  </si>
  <si>
    <t>ORD0066</t>
  </si>
  <si>
    <t>2025-01-16</t>
  </si>
  <si>
    <t>CUST321</t>
  </si>
  <si>
    <t>Customer_281</t>
  </si>
  <si>
    <t>ORD0067</t>
  </si>
  <si>
    <t>2024-07-17</t>
  </si>
  <si>
    <t>CUST862</t>
  </si>
  <si>
    <t>Customer_157</t>
  </si>
  <si>
    <t>ORD0068</t>
  </si>
  <si>
    <t>2024-06-08</t>
  </si>
  <si>
    <t>Customer_183</t>
  </si>
  <si>
    <t>ORD0069</t>
  </si>
  <si>
    <t>2024-03-08</t>
  </si>
  <si>
    <t>CUST525</t>
  </si>
  <si>
    <t>Customer_296</t>
  </si>
  <si>
    <t>ORD0070</t>
  </si>
  <si>
    <t>2024-07-28</t>
  </si>
  <si>
    <t>CUST533</t>
  </si>
  <si>
    <t>Customer_33</t>
  </si>
  <si>
    <t>ORD0071</t>
  </si>
  <si>
    <t>2024-02-12</t>
  </si>
  <si>
    <t>CUST835</t>
  </si>
  <si>
    <t>Customer_70</t>
  </si>
  <si>
    <t>ORD0072</t>
  </si>
  <si>
    <t>2025-02-21</t>
  </si>
  <si>
    <t>CUST861</t>
  </si>
  <si>
    <t>Lakme Foundation</t>
  </si>
  <si>
    <t>ORD0073</t>
  </si>
  <si>
    <t>2025-01-17</t>
  </si>
  <si>
    <t>CUST814</t>
  </si>
  <si>
    <t>Customer_169</t>
  </si>
  <si>
    <t>ORD0074</t>
  </si>
  <si>
    <t>2024-12-01</t>
  </si>
  <si>
    <t>CUST164</t>
  </si>
  <si>
    <t>Customer_65</t>
  </si>
  <si>
    <t>ORD0075</t>
  </si>
  <si>
    <t>2025-06-23</t>
  </si>
  <si>
    <t>ORD0076</t>
  </si>
  <si>
    <t>2024-03-05</t>
  </si>
  <si>
    <t>CUST927</t>
  </si>
  <si>
    <t>Customer_200</t>
  </si>
  <si>
    <t>ORD0077</t>
  </si>
  <si>
    <t>2024-08-19</t>
  </si>
  <si>
    <t>CUST116</t>
  </si>
  <si>
    <t>Customer_133</t>
  </si>
  <si>
    <t>ORD0078</t>
  </si>
  <si>
    <t>2024-04-13</t>
  </si>
  <si>
    <t>CUST733</t>
  </si>
  <si>
    <t>Customer_170</t>
  </si>
  <si>
    <t>ORD0079</t>
  </si>
  <si>
    <t>2024-10-12</t>
  </si>
  <si>
    <t>CUST397</t>
  </si>
  <si>
    <t>ORD0080</t>
  </si>
  <si>
    <t>2024-12-26</t>
  </si>
  <si>
    <t>CUST425</t>
  </si>
  <si>
    <t>Customer_277</t>
  </si>
  <si>
    <t>ORD0081</t>
  </si>
  <si>
    <t>2024-04-20</t>
  </si>
  <si>
    <t>CUST698</t>
  </si>
  <si>
    <t>Customer_184</t>
  </si>
  <si>
    <t>ORD0082</t>
  </si>
  <si>
    <t>2025-06-17</t>
  </si>
  <si>
    <t>CUST988</t>
  </si>
  <si>
    <t>ORD0083</t>
  </si>
  <si>
    <t>2025-01-14</t>
  </si>
  <si>
    <t>CUST636</t>
  </si>
  <si>
    <t>Customer_100</t>
  </si>
  <si>
    <t>ORD0084</t>
  </si>
  <si>
    <t>2024-06-29</t>
  </si>
  <si>
    <t>CUST942</t>
  </si>
  <si>
    <t>Customer_13</t>
  </si>
  <si>
    <t>ORD0085</t>
  </si>
  <si>
    <t>2024-04-24</t>
  </si>
  <si>
    <t>CUST603</t>
  </si>
  <si>
    <t>Customer_50</t>
  </si>
  <si>
    <t>ORD0086</t>
  </si>
  <si>
    <t>2025-01-18</t>
  </si>
  <si>
    <t>CUST909</t>
  </si>
  <si>
    <t>ORD0087</t>
  </si>
  <si>
    <t>2024-03-31</t>
  </si>
  <si>
    <t>CUST229</t>
  </si>
  <si>
    <t>Customer_43</t>
  </si>
  <si>
    <t>ORD0088</t>
  </si>
  <si>
    <t>2025-05-05</t>
  </si>
  <si>
    <t>CUST889</t>
  </si>
  <si>
    <t>Customer_16</t>
  </si>
  <si>
    <t>ORD0089</t>
  </si>
  <si>
    <t>2024-08-11</t>
  </si>
  <si>
    <t>CUST685</t>
  </si>
  <si>
    <t>Customer_255</t>
  </si>
  <si>
    <t>ORD0090</t>
  </si>
  <si>
    <t>2024-06-28</t>
  </si>
  <si>
    <t>CUST217</t>
  </si>
  <si>
    <t>Customer_245</t>
  </si>
  <si>
    <t>ORD0091</t>
  </si>
  <si>
    <t>CUST961</t>
  </si>
  <si>
    <t>Customer_181</t>
  </si>
  <si>
    <t>ORD0092</t>
  </si>
  <si>
    <t>2025-04-07</t>
  </si>
  <si>
    <t>CUST767</t>
  </si>
  <si>
    <t>Customer_256</t>
  </si>
  <si>
    <t>ORD0093</t>
  </si>
  <si>
    <t>2024-04-30</t>
  </si>
  <si>
    <t>CUST109</t>
  </si>
  <si>
    <t>ORD0094</t>
  </si>
  <si>
    <t>CUST319</t>
  </si>
  <si>
    <t>ORD0095</t>
  </si>
  <si>
    <t>CUST467</t>
  </si>
  <si>
    <t>ORD0096</t>
  </si>
  <si>
    <t>2024-05-01</t>
  </si>
  <si>
    <t>Customer_103</t>
  </si>
  <si>
    <t>ORD0097</t>
  </si>
  <si>
    <t>2025-03-18</t>
  </si>
  <si>
    <t>Customer_158</t>
  </si>
  <si>
    <t>ORD0098</t>
  </si>
  <si>
    <t>2024-06-06</t>
  </si>
  <si>
    <t>CUST982</t>
  </si>
  <si>
    <t>ORD0099</t>
  </si>
  <si>
    <t>2025-01-31</t>
  </si>
  <si>
    <t>ORD0100</t>
  </si>
  <si>
    <t>2025-04-27</t>
  </si>
  <si>
    <t>CUST122</t>
  </si>
  <si>
    <t>ORD0101</t>
  </si>
  <si>
    <t>2025-08-05</t>
  </si>
  <si>
    <t>CUST113</t>
  </si>
  <si>
    <t>ORD0102</t>
  </si>
  <si>
    <t>2024-11-01</t>
  </si>
  <si>
    <t>CUST515</t>
  </si>
  <si>
    <t>ORD0103</t>
  </si>
  <si>
    <t>2025-03-07</t>
  </si>
  <si>
    <t>CUST398</t>
  </si>
  <si>
    <t>ORD0104</t>
  </si>
  <si>
    <t>2024-12-25</t>
  </si>
  <si>
    <t>Customer_219</t>
  </si>
  <si>
    <t>ORD0105</t>
  </si>
  <si>
    <t>2024-10-11</t>
  </si>
  <si>
    <t>Customer_188</t>
  </si>
  <si>
    <t>ORD0106</t>
  </si>
  <si>
    <t>2024-02-05</t>
  </si>
  <si>
    <t>CUST573</t>
  </si>
  <si>
    <t>ORD0107</t>
  </si>
  <si>
    <t>2025-04-14</t>
  </si>
  <si>
    <t>CUST695</t>
  </si>
  <si>
    <t>Customer_21</t>
  </si>
  <si>
    <t>ORD0108</t>
  </si>
  <si>
    <t>2024-11-14</t>
  </si>
  <si>
    <t>CUST445</t>
  </si>
  <si>
    <t>ORD0109</t>
  </si>
  <si>
    <t>2024-04-28</t>
  </si>
  <si>
    <t>CUST724</t>
  </si>
  <si>
    <t>Customer_196</t>
  </si>
  <si>
    <t>ORD0110</t>
  </si>
  <si>
    <t>2024-01-29</t>
  </si>
  <si>
    <t>CUST830</t>
  </si>
  <si>
    <t>ORD0111</t>
  </si>
  <si>
    <t>2024-10-14</t>
  </si>
  <si>
    <t>CUST976</t>
  </si>
  <si>
    <t>ORD0112</t>
  </si>
  <si>
    <t>2025-06-01</t>
  </si>
  <si>
    <t>CUST248</t>
  </si>
  <si>
    <t>Customer_11</t>
  </si>
  <si>
    <t>ORD0113</t>
  </si>
  <si>
    <t>2025-02-06</t>
  </si>
  <si>
    <t>CUST342</t>
  </si>
  <si>
    <t>Customer_57</t>
  </si>
  <si>
    <t>ORD0114</t>
  </si>
  <si>
    <t>2025-08-27</t>
  </si>
  <si>
    <t>CUST144</t>
  </si>
  <si>
    <t>Customer_122</t>
  </si>
  <si>
    <t>ORD0115</t>
  </si>
  <si>
    <t>2025-04-16</t>
  </si>
  <si>
    <t>CUST392</t>
  </si>
  <si>
    <t>Customer_45</t>
  </si>
  <si>
    <t>ORD0116</t>
  </si>
  <si>
    <t>2025-08-09</t>
  </si>
  <si>
    <t>CUST760</t>
  </si>
  <si>
    <t>Customer_215</t>
  </si>
  <si>
    <t>ORD0117</t>
  </si>
  <si>
    <t>2025-06-08</t>
  </si>
  <si>
    <t>CUST161</t>
  </si>
  <si>
    <t>ORD0118</t>
  </si>
  <si>
    <t>2024-11-11</t>
  </si>
  <si>
    <t>CUST880</t>
  </si>
  <si>
    <t>Customer_20</t>
  </si>
  <si>
    <t>ORD0119</t>
  </si>
  <si>
    <t>2025-01-19</t>
  </si>
  <si>
    <t>CUST940</t>
  </si>
  <si>
    <t>Customer_278</t>
  </si>
  <si>
    <t>ORD0120</t>
  </si>
  <si>
    <t>2024-12-28</t>
  </si>
  <si>
    <t>CUST537</t>
  </si>
  <si>
    <t>ORD0121</t>
  </si>
  <si>
    <t>2024-08-15</t>
  </si>
  <si>
    <t>CUST464</t>
  </si>
  <si>
    <t>Customer_248</t>
  </si>
  <si>
    <t>ORD0122</t>
  </si>
  <si>
    <t>ORD0123</t>
  </si>
  <si>
    <t>Customer_26</t>
  </si>
  <si>
    <t>ORD0124</t>
  </si>
  <si>
    <t>2025-07-04</t>
  </si>
  <si>
    <t>CUST973</t>
  </si>
  <si>
    <t>Customer_275</t>
  </si>
  <si>
    <t>ORD0125</t>
  </si>
  <si>
    <t>2024-11-13</t>
  </si>
  <si>
    <t>CUST362</t>
  </si>
  <si>
    <t>ORD0126</t>
  </si>
  <si>
    <t>2025-08-06</t>
  </si>
  <si>
    <t>CUST456</t>
  </si>
  <si>
    <t>ORD0127</t>
  </si>
  <si>
    <t>2024-07-09</t>
  </si>
  <si>
    <t>CUST171</t>
  </si>
  <si>
    <t>Customer_69</t>
  </si>
  <si>
    <t>ORD0128</t>
  </si>
  <si>
    <t>2024-10-23</t>
  </si>
  <si>
    <t>CUST965</t>
  </si>
  <si>
    <t>Customer_17</t>
  </si>
  <si>
    <t>ORD0129</t>
  </si>
  <si>
    <t>2025-01-23</t>
  </si>
  <si>
    <t>Customer_102</t>
  </si>
  <si>
    <t>ORD0130</t>
  </si>
  <si>
    <t>2025-05-30</t>
  </si>
  <si>
    <t>CUST343</t>
  </si>
  <si>
    <t>ORD0131</t>
  </si>
  <si>
    <t>2025-04-01</t>
  </si>
  <si>
    <t>CUST404</t>
  </si>
  <si>
    <t>ORD0132</t>
  </si>
  <si>
    <t>2024-07-30</t>
  </si>
  <si>
    <t>CUST197</t>
  </si>
  <si>
    <t>Customer_127</t>
  </si>
  <si>
    <t>ORD0133</t>
  </si>
  <si>
    <t>2025-05-12</t>
  </si>
  <si>
    <t>Customer_126</t>
  </si>
  <si>
    <t>ORD0134</t>
  </si>
  <si>
    <t>CUST483</t>
  </si>
  <si>
    <t>Customer_87</t>
  </si>
  <si>
    <t>ORD0135</t>
  </si>
  <si>
    <t>2025-01-24</t>
  </si>
  <si>
    <t>CUST997</t>
  </si>
  <si>
    <t>ORD0136</t>
  </si>
  <si>
    <t>2024-03-13</t>
  </si>
  <si>
    <t>Customer_49</t>
  </si>
  <si>
    <t>ORD0137</t>
  </si>
  <si>
    <t>2024-07-15</t>
  </si>
  <si>
    <t>CUST958</t>
  </si>
  <si>
    <t>Customer_165</t>
  </si>
  <si>
    <t>ORD0138</t>
  </si>
  <si>
    <t>2025-05-28</t>
  </si>
  <si>
    <t>CUST985</t>
  </si>
  <si>
    <t>Customer_85</t>
  </si>
  <si>
    <t>ORD0139</t>
  </si>
  <si>
    <t>2025-06-10</t>
  </si>
  <si>
    <t>CUST208</t>
  </si>
  <si>
    <t>ORD0140</t>
  </si>
  <si>
    <t>2025-07-08</t>
  </si>
  <si>
    <t>CUST675</t>
  </si>
  <si>
    <t>Customer_257</t>
  </si>
  <si>
    <t>ORD0141</t>
  </si>
  <si>
    <t>2024-02-28</t>
  </si>
  <si>
    <t>CUST919</t>
  </si>
  <si>
    <t>Customer_109</t>
  </si>
  <si>
    <t>ORD0142</t>
  </si>
  <si>
    <t>2024-06-23</t>
  </si>
  <si>
    <t>CUST484</t>
  </si>
  <si>
    <t>Customer_270</t>
  </si>
  <si>
    <t>ORD0143</t>
  </si>
  <si>
    <t>CUST151</t>
  </si>
  <si>
    <t>Customer_8</t>
  </si>
  <si>
    <t>ORD0144</t>
  </si>
  <si>
    <t>CUST648</t>
  </si>
  <si>
    <t>Customer_129</t>
  </si>
  <si>
    <t>ORD0145</t>
  </si>
  <si>
    <t>2025-07-16</t>
  </si>
  <si>
    <t>CUST893</t>
  </si>
  <si>
    <t>Customer_53</t>
  </si>
  <si>
    <t>ORD0146</t>
  </si>
  <si>
    <t>2024-07-11</t>
  </si>
  <si>
    <t>Customer_77</t>
  </si>
  <si>
    <t>ORD0147</t>
  </si>
  <si>
    <t>2025-07-17</t>
  </si>
  <si>
    <t>CUST601</t>
  </si>
  <si>
    <t>ORD0148</t>
  </si>
  <si>
    <t>2024-02-27</t>
  </si>
  <si>
    <t>CUST383</t>
  </si>
  <si>
    <t>Customer_58</t>
  </si>
  <si>
    <t>ORD0149</t>
  </si>
  <si>
    <t>2024-09-29</t>
  </si>
  <si>
    <t>Customer_199</t>
  </si>
  <si>
    <t>ORD0150</t>
  </si>
  <si>
    <t>CUST242</t>
  </si>
  <si>
    <t>ORD0151</t>
  </si>
  <si>
    <t>2025-04-28</t>
  </si>
  <si>
    <t>CUST274</t>
  </si>
  <si>
    <t>Customer_147</t>
  </si>
  <si>
    <t>ORD0152</t>
  </si>
  <si>
    <t>CUST357</t>
  </si>
  <si>
    <t>Customer_272</t>
  </si>
  <si>
    <t>ORD0153</t>
  </si>
  <si>
    <t>2025-01-10</t>
  </si>
  <si>
    <t>CUST590</t>
  </si>
  <si>
    <t>Customer_114</t>
  </si>
  <si>
    <t>ORD0154</t>
  </si>
  <si>
    <t>CUST482</t>
  </si>
  <si>
    <t>Customer_247</t>
  </si>
  <si>
    <t>ORD0155</t>
  </si>
  <si>
    <t>CUST617</t>
  </si>
  <si>
    <t>Customer_300</t>
  </si>
  <si>
    <t>ORD0156</t>
  </si>
  <si>
    <t>2025-05-20</t>
  </si>
  <si>
    <t>CUST763</t>
  </si>
  <si>
    <t>Customer_221</t>
  </si>
  <si>
    <t>ORD0157</t>
  </si>
  <si>
    <t>2024-01-03</t>
  </si>
  <si>
    <t>CUST569</t>
  </si>
  <si>
    <t>ORD0158</t>
  </si>
  <si>
    <t>2024-03-26</t>
  </si>
  <si>
    <t>ORD0159</t>
  </si>
  <si>
    <t>2025-04-18</t>
  </si>
  <si>
    <t>CUST574</t>
  </si>
  <si>
    <t>ORD0160</t>
  </si>
  <si>
    <t>CUST808</t>
  </si>
  <si>
    <t>Customer_283</t>
  </si>
  <si>
    <t>ORD0161</t>
  </si>
  <si>
    <t>CUST202</t>
  </si>
  <si>
    <t>Customer_242</t>
  </si>
  <si>
    <t>ORD0162</t>
  </si>
  <si>
    <t>2024-11-04</t>
  </si>
  <si>
    <t>CUST585</t>
  </si>
  <si>
    <t>Customer_220</t>
  </si>
  <si>
    <t>ORD0163</t>
  </si>
  <si>
    <t>2024-06-25</t>
  </si>
  <si>
    <t>CUST421</t>
  </si>
  <si>
    <t>ORD0164</t>
  </si>
  <si>
    <t>CUST916</t>
  </si>
  <si>
    <t>Customer_134</t>
  </si>
  <si>
    <t>ORD0165</t>
  </si>
  <si>
    <t>2024-08-18</t>
  </si>
  <si>
    <t>CUST998</t>
  </si>
  <si>
    <t>Customer_82</t>
  </si>
  <si>
    <t>ORD0166</t>
  </si>
  <si>
    <t>2025-02-26</t>
  </si>
  <si>
    <t>CUST315</t>
  </si>
  <si>
    <t>Customer_186</t>
  </si>
  <si>
    <t>ORD0167</t>
  </si>
  <si>
    <t>2025-07-01</t>
  </si>
  <si>
    <t>Customer_210</t>
  </si>
  <si>
    <t>ORD0168</t>
  </si>
  <si>
    <t>2025-04-05</t>
  </si>
  <si>
    <t>CUST840</t>
  </si>
  <si>
    <t>Customer_218</t>
  </si>
  <si>
    <t>ORD0169</t>
  </si>
  <si>
    <t>2024-09-01</t>
  </si>
  <si>
    <t>CUST557</t>
  </si>
  <si>
    <t>ORD0170</t>
  </si>
  <si>
    <t>2024-05-24</t>
  </si>
  <si>
    <t>CUST481</t>
  </si>
  <si>
    <t>ORD0171</t>
  </si>
  <si>
    <t>CUST819</t>
  </si>
  <si>
    <t>ORD0172</t>
  </si>
  <si>
    <t>CUST502</t>
  </si>
  <si>
    <t>ORD0173</t>
  </si>
  <si>
    <t>2024-09-07</t>
  </si>
  <si>
    <t>CUST859</t>
  </si>
  <si>
    <t>ORD0174</t>
  </si>
  <si>
    <t>CUST750</t>
  </si>
  <si>
    <t>ORD0175</t>
  </si>
  <si>
    <t>2024-10-25</t>
  </si>
  <si>
    <t>Customer_75</t>
  </si>
  <si>
    <t>ORD0176</t>
  </si>
  <si>
    <t>2024-11-22</t>
  </si>
  <si>
    <t>CUST669</t>
  </si>
  <si>
    <t>ORD0177</t>
  </si>
  <si>
    <t>CUST222</t>
  </si>
  <si>
    <t>ORD0178</t>
  </si>
  <si>
    <t>2024-12-16</t>
  </si>
  <si>
    <t>CUST667</t>
  </si>
  <si>
    <t>ORD0179</t>
  </si>
  <si>
    <t>CUST401</t>
  </si>
  <si>
    <t>ORD0180</t>
  </si>
  <si>
    <t>2024-02-03</t>
  </si>
  <si>
    <t>CUST176</t>
  </si>
  <si>
    <t>ORD0181</t>
  </si>
  <si>
    <t>2024-04-08</t>
  </si>
  <si>
    <t>CUST575</t>
  </si>
  <si>
    <t>Customer_84</t>
  </si>
  <si>
    <t>ORD0182</t>
  </si>
  <si>
    <t>Customer_161</t>
  </si>
  <si>
    <t>ORD0183</t>
  </si>
  <si>
    <t>2025-03-09</t>
  </si>
  <si>
    <t>CUST182</t>
  </si>
  <si>
    <t>Customer_294</t>
  </si>
  <si>
    <t>ORD0184</t>
  </si>
  <si>
    <t>2024-12-17</t>
  </si>
  <si>
    <t>CUST969</t>
  </si>
  <si>
    <t>ORD0185</t>
  </si>
  <si>
    <t>CUST403</t>
  </si>
  <si>
    <t>ORD0186</t>
  </si>
  <si>
    <t>2024-03-02</t>
  </si>
  <si>
    <t>CUST506</t>
  </si>
  <si>
    <t>Customer_258</t>
  </si>
  <si>
    <t>ORD0187</t>
  </si>
  <si>
    <t>2024-11-28</t>
  </si>
  <si>
    <t>CUST812</t>
  </si>
  <si>
    <t>Customer_12</t>
  </si>
  <si>
    <t>ORD0188</t>
  </si>
  <si>
    <t>2024-11-26</t>
  </si>
  <si>
    <t>CUST235</t>
  </si>
  <si>
    <t>ORD0189</t>
  </si>
  <si>
    <t>CUST408</t>
  </si>
  <si>
    <t>ORD0190</t>
  </si>
  <si>
    <t>CUST528</t>
  </si>
  <si>
    <t>Customer_40</t>
  </si>
  <si>
    <t>ORD0191</t>
  </si>
  <si>
    <t>CUST542</t>
  </si>
  <si>
    <t>Customer_203</t>
  </si>
  <si>
    <t>ORD0192</t>
  </si>
  <si>
    <t>2024-07-27</t>
  </si>
  <si>
    <t>Customer_37</t>
  </si>
  <si>
    <t>ORD0193</t>
  </si>
  <si>
    <t>2024-01-15</t>
  </si>
  <si>
    <t>CUST817</t>
  </si>
  <si>
    <t>Customer_177</t>
  </si>
  <si>
    <t>ORD0194</t>
  </si>
  <si>
    <t>2024-09-08</t>
  </si>
  <si>
    <t>CUST309</t>
  </si>
  <si>
    <t>Customer_139</t>
  </si>
  <si>
    <t>ORD0195</t>
  </si>
  <si>
    <t>CUST225</t>
  </si>
  <si>
    <t>Customer_267</t>
  </si>
  <si>
    <t>ORD0196</t>
  </si>
  <si>
    <t>2025-01-12</t>
  </si>
  <si>
    <t>CUST934</t>
  </si>
  <si>
    <t>Customer_83</t>
  </si>
  <si>
    <t>ORD0197</t>
  </si>
  <si>
    <t>CUST811</t>
  </si>
  <si>
    <t>Customer_223</t>
  </si>
  <si>
    <t>ORD0198</t>
  </si>
  <si>
    <t>CUST414</t>
  </si>
  <si>
    <t>Customer_266</t>
  </si>
  <si>
    <t>ORD0199</t>
  </si>
  <si>
    <t>2025-08-11</t>
  </si>
  <si>
    <t>CUST924</t>
  </si>
  <si>
    <t>ORD0200</t>
  </si>
  <si>
    <t>Customer_113</t>
  </si>
  <si>
    <t>ORD0201</t>
  </si>
  <si>
    <t>2025-05-03</t>
  </si>
  <si>
    <t>CUST379</t>
  </si>
  <si>
    <t>ORD0202</t>
  </si>
  <si>
    <t>2024-12-19</t>
  </si>
  <si>
    <t>CUST823</t>
  </si>
  <si>
    <t>ORD0203</t>
  </si>
  <si>
    <t>2024-09-05</t>
  </si>
  <si>
    <t>ORD0204</t>
  </si>
  <si>
    <t>CUST547</t>
  </si>
  <si>
    <t>Customer_225</t>
  </si>
  <si>
    <t>ORD0205</t>
  </si>
  <si>
    <t>2024-03-27</t>
  </si>
  <si>
    <t>CUST283</t>
  </si>
  <si>
    <t>ORD0206</t>
  </si>
  <si>
    <t>2024-08-20</t>
  </si>
  <si>
    <t>CUST545</t>
  </si>
  <si>
    <t>ORD0207</t>
  </si>
  <si>
    <t>2025-04-02</t>
  </si>
  <si>
    <t>CUST559</t>
  </si>
  <si>
    <t>Customer_15</t>
  </si>
  <si>
    <t>ORD0208</t>
  </si>
  <si>
    <t>CUST827</t>
  </si>
  <si>
    <t>ORD0209</t>
  </si>
  <si>
    <t>2024-10-16</t>
  </si>
  <si>
    <t>Customer_81</t>
  </si>
  <si>
    <t>ORD0210</t>
  </si>
  <si>
    <t>2025-03-06</t>
  </si>
  <si>
    <t>CUST517</t>
  </si>
  <si>
    <t>Customer_299</t>
  </si>
  <si>
    <t>ORD0211</t>
  </si>
  <si>
    <t>2024-04-11</t>
  </si>
  <si>
    <t>CUST213</t>
  </si>
  <si>
    <t>ORD0212</t>
  </si>
  <si>
    <t>2024-12-02</t>
  </si>
  <si>
    <t>CUST360</t>
  </si>
  <si>
    <t>Customer_154</t>
  </si>
  <si>
    <t>ORD0213</t>
  </si>
  <si>
    <t>2024-06-22</t>
  </si>
  <si>
    <t>ORD0214</t>
  </si>
  <si>
    <t>CUST895</t>
  </si>
  <si>
    <t>Customer_244</t>
  </si>
  <si>
    <t>ORD0215</t>
  </si>
  <si>
    <t>2025-04-30</t>
  </si>
  <si>
    <t>CUST921</t>
  </si>
  <si>
    <t>Customer_271</t>
  </si>
  <si>
    <t>ORD0216</t>
  </si>
  <si>
    <t>2025-05-27</t>
  </si>
  <si>
    <t>CUST653</t>
  </si>
  <si>
    <t>ORD0217</t>
  </si>
  <si>
    <t>2024-12-31</t>
  </si>
  <si>
    <t>CUST296</t>
  </si>
  <si>
    <t>ORD0218</t>
  </si>
  <si>
    <t>2024-08-06</t>
  </si>
  <si>
    <t>ORD0219</t>
  </si>
  <si>
    <t>2024-09-13</t>
  </si>
  <si>
    <t>CUST860</t>
  </si>
  <si>
    <t>Customer_24</t>
  </si>
  <si>
    <t>ORD0220</t>
  </si>
  <si>
    <t>CUST894</t>
  </si>
  <si>
    <t>ORD0221</t>
  </si>
  <si>
    <t>2024-05-26</t>
  </si>
  <si>
    <t>Customer_149</t>
  </si>
  <si>
    <t>ORD0222</t>
  </si>
  <si>
    <t>2024-09-12</t>
  </si>
  <si>
    <t>CUST684</t>
  </si>
  <si>
    <t>Customer_115</t>
  </si>
  <si>
    <t>ORD0223</t>
  </si>
  <si>
    <t>2024-09-15</t>
  </si>
  <si>
    <t>CUST563</t>
  </si>
  <si>
    <t>Customer_276</t>
  </si>
  <si>
    <t>ORD0224</t>
  </si>
  <si>
    <t>2024-06-15</t>
  </si>
  <si>
    <t>ORD0225</t>
  </si>
  <si>
    <t>CUST510</t>
  </si>
  <si>
    <t>ORD0226</t>
  </si>
  <si>
    <t>2024-03-25</t>
  </si>
  <si>
    <t>ORD0227</t>
  </si>
  <si>
    <t>2024-04-21</t>
  </si>
  <si>
    <t>CUST620</t>
  </si>
  <si>
    <t>Customer_146</t>
  </si>
  <si>
    <t>ORD0228</t>
  </si>
  <si>
    <t>CUST452</t>
  </si>
  <si>
    <t>Customer_19</t>
  </si>
  <si>
    <t>ORD0229</t>
  </si>
  <si>
    <t>2025-06-15</t>
  </si>
  <si>
    <t>CUST975</t>
  </si>
  <si>
    <t>Customer_187</t>
  </si>
  <si>
    <t>ORD0230</t>
  </si>
  <si>
    <t>CUST987</t>
  </si>
  <si>
    <t>Customer_185</t>
  </si>
  <si>
    <t>ORD0231</t>
  </si>
  <si>
    <t>2025-07-24</t>
  </si>
  <si>
    <t>CUST496</t>
  </si>
  <si>
    <t>Customer_259</t>
  </si>
  <si>
    <t>ORD0232</t>
  </si>
  <si>
    <t>2024-08-26</t>
  </si>
  <si>
    <t>CUST971</t>
  </si>
  <si>
    <t>ORD0233</t>
  </si>
  <si>
    <t>2025-06-04</t>
  </si>
  <si>
    <t>CUST375</t>
  </si>
  <si>
    <t>ORD0234</t>
  </si>
  <si>
    <t>2025-01-21</t>
  </si>
  <si>
    <t>CUST671</t>
  </si>
  <si>
    <t>Customer_217</t>
  </si>
  <si>
    <t>ORD0235</t>
  </si>
  <si>
    <t>2024-11-09</t>
  </si>
  <si>
    <t>CUST346</t>
  </si>
  <si>
    <t>Customer_54</t>
  </si>
  <si>
    <t>ORD0236</t>
  </si>
  <si>
    <t>2024-03-20</t>
  </si>
  <si>
    <t>CUST385</t>
  </si>
  <si>
    <t>Customer_175</t>
  </si>
  <si>
    <t>ORD0237</t>
  </si>
  <si>
    <t>2025-03-13</t>
  </si>
  <si>
    <t>CUST900</t>
  </si>
  <si>
    <t>Customer_253</t>
  </si>
  <si>
    <t>ORD0238</t>
  </si>
  <si>
    <t>2024-04-29</t>
  </si>
  <si>
    <t>CUST886</t>
  </si>
  <si>
    <t>Customer_7</t>
  </si>
  <si>
    <t>ORD0239</t>
  </si>
  <si>
    <t>2024-04-22</t>
  </si>
  <si>
    <t>CUST950</t>
  </si>
  <si>
    <t>ORD0240</t>
  </si>
  <si>
    <t>2024-10-04</t>
  </si>
  <si>
    <t>CUST710</t>
  </si>
  <si>
    <t>ORD0241</t>
  </si>
  <si>
    <t>2025-06-06</t>
  </si>
  <si>
    <t>CUST326</t>
  </si>
  <si>
    <t>Customer_261</t>
  </si>
  <si>
    <t>ORD0242</t>
  </si>
  <si>
    <t>2024-06-30</t>
  </si>
  <si>
    <t>Customer_76</t>
  </si>
  <si>
    <t>ORD0243</t>
  </si>
  <si>
    <t>CUST260</t>
  </si>
  <si>
    <t>ORD0244</t>
  </si>
  <si>
    <t>2024-10-20</t>
  </si>
  <si>
    <t>ORD0245</t>
  </si>
  <si>
    <t>CUST247</t>
  </si>
  <si>
    <t>ORD0246</t>
  </si>
  <si>
    <t>2024-01-28</t>
  </si>
  <si>
    <t>ORD0247</t>
  </si>
  <si>
    <t>2025-08-12</t>
  </si>
  <si>
    <t>CUST374</t>
  </si>
  <si>
    <t>Customer_10</t>
  </si>
  <si>
    <t>ORD0248</t>
  </si>
  <si>
    <t>2024-10-21</t>
  </si>
  <si>
    <t>CUST304</t>
  </si>
  <si>
    <t>ORD0249</t>
  </si>
  <si>
    <t>CUST196</t>
  </si>
  <si>
    <t>ORD0250</t>
  </si>
  <si>
    <t>2025-01-06</t>
  </si>
  <si>
    <t>CUST672</t>
  </si>
  <si>
    <t>Customer_112</t>
  </si>
  <si>
    <t>ORD0251</t>
  </si>
  <si>
    <t>2025-08-03</t>
  </si>
  <si>
    <t>CUST206</t>
  </si>
  <si>
    <t>Customer_291</t>
  </si>
  <si>
    <t>ORD0252</t>
  </si>
  <si>
    <t>2024-08-21</t>
  </si>
  <si>
    <t>CUST642</t>
  </si>
  <si>
    <t>ORD0253</t>
  </si>
  <si>
    <t>2024-09-30</t>
  </si>
  <si>
    <t>CUST491</t>
  </si>
  <si>
    <t>Customer_141</t>
  </si>
  <si>
    <t>ORD0254</t>
  </si>
  <si>
    <t>2024-12-12</t>
  </si>
  <si>
    <t>CUST633</t>
  </si>
  <si>
    <t>Customer_156</t>
  </si>
  <si>
    <t>ORD0255</t>
  </si>
  <si>
    <t>Customer_35</t>
  </si>
  <si>
    <t>ORD0256</t>
  </si>
  <si>
    <t>2024-10-02</t>
  </si>
  <si>
    <t>CUST155</t>
  </si>
  <si>
    <t>ORD0257</t>
  </si>
  <si>
    <t>ORD0258</t>
  </si>
  <si>
    <t>Customer_216</t>
  </si>
  <si>
    <t>ORD0259</t>
  </si>
  <si>
    <t>2025-02-03</t>
  </si>
  <si>
    <t>CUST941</t>
  </si>
  <si>
    <t>Customer_31</t>
  </si>
  <si>
    <t>ORD0260</t>
  </si>
  <si>
    <t>2024-04-14</t>
  </si>
  <si>
    <t>CUST576</t>
  </si>
  <si>
    <t>ORD0261</t>
  </si>
  <si>
    <t>2024-05-14</t>
  </si>
  <si>
    <t>CUST754</t>
  </si>
  <si>
    <t>Customer_140</t>
  </si>
  <si>
    <t>ORD0262</t>
  </si>
  <si>
    <t>ORD0263</t>
  </si>
  <si>
    <t>2024-05-03</t>
  </si>
  <si>
    <t>CUST599</t>
  </si>
  <si>
    <t>ORD0264</t>
  </si>
  <si>
    <t>CUST444</t>
  </si>
  <si>
    <t>Customer_42</t>
  </si>
  <si>
    <t>ORD0265</t>
  </si>
  <si>
    <t>2024-01-21</t>
  </si>
  <si>
    <t>CUST278</t>
  </si>
  <si>
    <t>ORD0266</t>
  </si>
  <si>
    <t>CUST463</t>
  </si>
  <si>
    <t>Customer_287</t>
  </si>
  <si>
    <t>ORD0267</t>
  </si>
  <si>
    <t>2025-01-26</t>
  </si>
  <si>
    <t>Customer_224</t>
  </si>
  <si>
    <t>ORD0268</t>
  </si>
  <si>
    <t>2025-03-10</t>
  </si>
  <si>
    <t>CUST352</t>
  </si>
  <si>
    <t>ORD0269</t>
  </si>
  <si>
    <t>CUST128</t>
  </si>
  <si>
    <t>Customer_234</t>
  </si>
  <si>
    <t>ORD0270</t>
  </si>
  <si>
    <t>CUST534</t>
  </si>
  <si>
    <t>Customer_222</t>
  </si>
  <si>
    <t>ORD0271</t>
  </si>
  <si>
    <t>2024-08-10</t>
  </si>
  <si>
    <t>ORD0272</t>
  </si>
  <si>
    <t>ORD0273</t>
  </si>
  <si>
    <t>2024-11-16</t>
  </si>
  <si>
    <t>CUST968</t>
  </si>
  <si>
    <t>Customer_29</t>
  </si>
  <si>
    <t>ORD0274</t>
  </si>
  <si>
    <t>2025-07-07</t>
  </si>
  <si>
    <t>CUST249</t>
  </si>
  <si>
    <t>Customer_23</t>
  </si>
  <si>
    <t>ORD0275</t>
  </si>
  <si>
    <t>ORD0276</t>
  </si>
  <si>
    <t>2024-03-10</t>
  </si>
  <si>
    <t>ORD0277</t>
  </si>
  <si>
    <t>2025-07-10</t>
  </si>
  <si>
    <t>ORD0278</t>
  </si>
  <si>
    <t>2025-04-09</t>
  </si>
  <si>
    <t>CUST990</t>
  </si>
  <si>
    <t>Customer_179</t>
  </si>
  <si>
    <t>ORD0279</t>
  </si>
  <si>
    <t>Customer_173</t>
  </si>
  <si>
    <t>ORD0280</t>
  </si>
  <si>
    <t>2024-07-16</t>
  </si>
  <si>
    <t>CUST509</t>
  </si>
  <si>
    <t>ORD0281</t>
  </si>
  <si>
    <t>2025-04-15</t>
  </si>
  <si>
    <t>ORD0282</t>
  </si>
  <si>
    <t>2025-05-04</t>
  </si>
  <si>
    <t>ORD0283</t>
  </si>
  <si>
    <t>CUST634</t>
  </si>
  <si>
    <t>ORD0284</t>
  </si>
  <si>
    <t>Customer_93</t>
  </si>
  <si>
    <t>ORD0285</t>
  </si>
  <si>
    <t>2024-09-17</t>
  </si>
  <si>
    <t>CUST896</t>
  </si>
  <si>
    <t>ORD0286</t>
  </si>
  <si>
    <t>2024-09-09</t>
  </si>
  <si>
    <t>CUST661</t>
  </si>
  <si>
    <t>Customer_285</t>
  </si>
  <si>
    <t>ORD0287</t>
  </si>
  <si>
    <t>CUST836</t>
  </si>
  <si>
    <t>Customer_298</t>
  </si>
  <si>
    <t>ORD0288</t>
  </si>
  <si>
    <t>Customer_22</t>
  </si>
  <si>
    <t>ORD0289</t>
  </si>
  <si>
    <t>Customer_90</t>
  </si>
  <si>
    <t>ORD0290</t>
  </si>
  <si>
    <t>CUST345</t>
  </si>
  <si>
    <t>ORD0291</t>
  </si>
  <si>
    <t>ORD0292</t>
  </si>
  <si>
    <t>CUST471</t>
  </si>
  <si>
    <t>ORD0293</t>
  </si>
  <si>
    <t>2024-01-24</t>
  </si>
  <si>
    <t>Customer_98</t>
  </si>
  <si>
    <t>ORD0294</t>
  </si>
  <si>
    <t>2024-06-01</t>
  </si>
  <si>
    <t>CUST572</t>
  </si>
  <si>
    <t>ORD0295</t>
  </si>
  <si>
    <t>ORD0296</t>
  </si>
  <si>
    <t>CUST713</t>
  </si>
  <si>
    <t>ORD0297</t>
  </si>
  <si>
    <t>CUST132</t>
  </si>
  <si>
    <t>Customer_89</t>
  </si>
  <si>
    <t>ORD0298</t>
  </si>
  <si>
    <t>CUST179</t>
  </si>
  <si>
    <t>ORD0299</t>
  </si>
  <si>
    <t>ORD0300</t>
  </si>
  <si>
    <t>2025-02-05</t>
  </si>
  <si>
    <t>Customer_284</t>
  </si>
  <si>
    <t>ORD0301</t>
  </si>
  <si>
    <t>2025-06-19</t>
  </si>
  <si>
    <t>CUST227</t>
  </si>
  <si>
    <t>ORD0302</t>
  </si>
  <si>
    <t>2024-05-17</t>
  </si>
  <si>
    <t>Customer_99</t>
  </si>
  <si>
    <t>ORD0303</t>
  </si>
  <si>
    <t>2025-07-30</t>
  </si>
  <si>
    <t>CUST876</t>
  </si>
  <si>
    <t>Customer_148</t>
  </si>
  <si>
    <t>ORD0304</t>
  </si>
  <si>
    <t>CUST676</t>
  </si>
  <si>
    <t>Customer_51</t>
  </si>
  <si>
    <t>ORD0305</t>
  </si>
  <si>
    <t>2025-08-20</t>
  </si>
  <si>
    <t>CUST882</t>
  </si>
  <si>
    <t>ORD0306</t>
  </si>
  <si>
    <t>2024-03-12</t>
  </si>
  <si>
    <t>CUST372</t>
  </si>
  <si>
    <t>ORD0307</t>
  </si>
  <si>
    <t>2024-12-13</t>
  </si>
  <si>
    <t>CUST212</t>
  </si>
  <si>
    <t>Customer_286</t>
  </si>
  <si>
    <t>ORD0308</t>
  </si>
  <si>
    <t>2024-07-18</t>
  </si>
  <si>
    <t>Customer_52</t>
  </si>
  <si>
    <t>ORD0309</t>
  </si>
  <si>
    <t>ORD0310</t>
  </si>
  <si>
    <t>CUST469</t>
  </si>
  <si>
    <t>Customer_118</t>
  </si>
  <si>
    <t>ORD0311</t>
  </si>
  <si>
    <t>2025-05-10</t>
  </si>
  <si>
    <t>CUST353</t>
  </si>
  <si>
    <t>Customer_250</t>
  </si>
  <si>
    <t>ORD0312</t>
  </si>
  <si>
    <t>2025-06-14</t>
  </si>
  <si>
    <t>CUST544</t>
  </si>
  <si>
    <t>ORD0313</t>
  </si>
  <si>
    <t>2024-05-28</t>
  </si>
  <si>
    <t>CUST548</t>
  </si>
  <si>
    <t>ORD0314</t>
  </si>
  <si>
    <t>2025-01-11</t>
  </si>
  <si>
    <t>ORD0315</t>
  </si>
  <si>
    <t>2024-12-21</t>
  </si>
  <si>
    <t>CUST967</t>
  </si>
  <si>
    <t>Customer_68</t>
  </si>
  <si>
    <t>ORD0316</t>
  </si>
  <si>
    <t>2025-08-16</t>
  </si>
  <si>
    <t>CUST433</t>
  </si>
  <si>
    <t>ORD0317</t>
  </si>
  <si>
    <t>CUST152</t>
  </si>
  <si>
    <t>ORD0318</t>
  </si>
  <si>
    <t>CUST951</t>
  </si>
  <si>
    <t>ORD0319</t>
  </si>
  <si>
    <t>CUST191</t>
  </si>
  <si>
    <t>ORD0320</t>
  </si>
  <si>
    <t>CUST694</t>
  </si>
  <si>
    <t>ORD0321</t>
  </si>
  <si>
    <t>Customer_95</t>
  </si>
  <si>
    <t>ORD0322</t>
  </si>
  <si>
    <t>ORD0323</t>
  </si>
  <si>
    <t>CUST367</t>
  </si>
  <si>
    <t>ORD0324</t>
  </si>
  <si>
    <t>2024-05-19</t>
  </si>
  <si>
    <t>ORD0325</t>
  </si>
  <si>
    <t>2024-10-18</t>
  </si>
  <si>
    <t>ORD0326</t>
  </si>
  <si>
    <t>CUST930</t>
  </si>
  <si>
    <t>ORD0327</t>
  </si>
  <si>
    <t>2025-05-25</t>
  </si>
  <si>
    <t>CUST795</t>
  </si>
  <si>
    <t>Customer_295</t>
  </si>
  <si>
    <t>ORD0328</t>
  </si>
  <si>
    <t>2024-06-09</t>
  </si>
  <si>
    <t>CUST428</t>
  </si>
  <si>
    <t>Customer_47</t>
  </si>
  <si>
    <t>ORD0329</t>
  </si>
  <si>
    <t>2024-05-20</t>
  </si>
  <si>
    <t>CUST810</t>
  </si>
  <si>
    <t>Customer_292</t>
  </si>
  <si>
    <t>ORD0330</t>
  </si>
  <si>
    <t>2024-09-14</t>
  </si>
  <si>
    <t>CUST609</t>
  </si>
  <si>
    <t>ORD0331</t>
  </si>
  <si>
    <t>2025-08-13</t>
  </si>
  <si>
    <t>ORD0332</t>
  </si>
  <si>
    <t>2024-10-09</t>
  </si>
  <si>
    <t>CUST391</t>
  </si>
  <si>
    <t>ORD0333</t>
  </si>
  <si>
    <t>2024-09-24</t>
  </si>
  <si>
    <t>CUST198</t>
  </si>
  <si>
    <t>ORD0334</t>
  </si>
  <si>
    <t>2025-05-15</t>
  </si>
  <si>
    <t>ORD0335</t>
  </si>
  <si>
    <t>CUST129</t>
  </si>
  <si>
    <t>Customer_107</t>
  </si>
  <si>
    <t>ORD0336</t>
  </si>
  <si>
    <t>2024-02-13</t>
  </si>
  <si>
    <t>ORD0337</t>
  </si>
  <si>
    <t>CUST489</t>
  </si>
  <si>
    <t>Customer_239</t>
  </si>
  <si>
    <t>ORD0338</t>
  </si>
  <si>
    <t>CUST422</t>
  </si>
  <si>
    <t>Customer_288</t>
  </si>
  <si>
    <t>ORD0339</t>
  </si>
  <si>
    <t>CUST133</t>
  </si>
  <si>
    <t>ORD0340</t>
  </si>
  <si>
    <t>2025-07-15</t>
  </si>
  <si>
    <t>CUST826</t>
  </si>
  <si>
    <t>Customer_123</t>
  </si>
  <si>
    <t>ORD0341</t>
  </si>
  <si>
    <t>2025-07-28</t>
  </si>
  <si>
    <t>CUST226</t>
  </si>
  <si>
    <t>Customer_208</t>
  </si>
  <si>
    <t>ORD0342</t>
  </si>
  <si>
    <t>CUST518</t>
  </si>
  <si>
    <t>ORD0343</t>
  </si>
  <si>
    <t>2024-11-12</t>
  </si>
  <si>
    <t>CUST435</t>
  </si>
  <si>
    <t>ORD0344</t>
  </si>
  <si>
    <t>ORD0345</t>
  </si>
  <si>
    <t>CUST415</t>
  </si>
  <si>
    <t>ORD0346</t>
  </si>
  <si>
    <t>2024-07-22</t>
  </si>
  <si>
    <t>CUST912</t>
  </si>
  <si>
    <t>ORD0347</t>
  </si>
  <si>
    <t>2024-04-01</t>
  </si>
  <si>
    <t>CUST877</t>
  </si>
  <si>
    <t>ORD0348</t>
  </si>
  <si>
    <t>2024-12-04</t>
  </si>
  <si>
    <t>CUST259</t>
  </si>
  <si>
    <t>Customer_153</t>
  </si>
  <si>
    <t>ORD0349</t>
  </si>
  <si>
    <t>CUST240</t>
  </si>
  <si>
    <t>Customer_171</t>
  </si>
  <si>
    <t>ORD0350</t>
  </si>
  <si>
    <t>CUST457</t>
  </si>
  <si>
    <t>ORD0351</t>
  </si>
  <si>
    <t>2024-10-26</t>
  </si>
  <si>
    <t>ORD0352</t>
  </si>
  <si>
    <t>CUST844</t>
  </si>
  <si>
    <t>Customer_241</t>
  </si>
  <si>
    <t>ORD0353</t>
  </si>
  <si>
    <t>2025-03-12</t>
  </si>
  <si>
    <t>CUST885</t>
  </si>
  <si>
    <t>Customer_262</t>
  </si>
  <si>
    <t>ORD0354</t>
  </si>
  <si>
    <t>ORD0355</t>
  </si>
  <si>
    <t>2025-05-02</t>
  </si>
  <si>
    <t>ORD0356</t>
  </si>
  <si>
    <t>CUST820</t>
  </si>
  <si>
    <t>Customer_135</t>
  </si>
  <si>
    <t>ORD0357</t>
  </si>
  <si>
    <t>2025-01-22</t>
  </si>
  <si>
    <t>CUST625</t>
  </si>
  <si>
    <t>ORD0358</t>
  </si>
  <si>
    <t>CUST232</t>
  </si>
  <si>
    <t>ORD0359</t>
  </si>
  <si>
    <t>2025-05-18</t>
  </si>
  <si>
    <t>CUST605</t>
  </si>
  <si>
    <t>ORD0360</t>
  </si>
  <si>
    <t>2025-02-13</t>
  </si>
  <si>
    <t>CUST252</t>
  </si>
  <si>
    <t>ORD0361</t>
  </si>
  <si>
    <t>CUST834</t>
  </si>
  <si>
    <t>ORD0362</t>
  </si>
  <si>
    <t>2024-05-02</t>
  </si>
  <si>
    <t>CUST121</t>
  </si>
  <si>
    <t>ORD0363</t>
  </si>
  <si>
    <t>CUST734</t>
  </si>
  <si>
    <t>Customer_18</t>
  </si>
  <si>
    <t>ORD0364</t>
  </si>
  <si>
    <t>ORD0365</t>
  </si>
  <si>
    <t>ORD0366</t>
  </si>
  <si>
    <t>2024-05-10</t>
  </si>
  <si>
    <t>CUST524</t>
  </si>
  <si>
    <t>ORD0367</t>
  </si>
  <si>
    <t>ORD0368</t>
  </si>
  <si>
    <t>ORD0369</t>
  </si>
  <si>
    <t>CUST689</t>
  </si>
  <si>
    <t>Customer_193</t>
  </si>
  <si>
    <t>ORD0370</t>
  </si>
  <si>
    <t>CUST203</t>
  </si>
  <si>
    <t>ORD0371</t>
  </si>
  <si>
    <t>ORD0372</t>
  </si>
  <si>
    <t>CUST310</t>
  </si>
  <si>
    <t>Customer_142</t>
  </si>
  <si>
    <t>ORD0373</t>
  </si>
  <si>
    <t>CUST475</t>
  </si>
  <si>
    <t>ORD0374</t>
  </si>
  <si>
    <t>ORD0375</t>
  </si>
  <si>
    <t>ORD0376</t>
  </si>
  <si>
    <t>CUST700</t>
  </si>
  <si>
    <t>ORD0377</t>
  </si>
  <si>
    <t>2025-01-27</t>
  </si>
  <si>
    <t>ORD0378</t>
  </si>
  <si>
    <t>2025-03-19</t>
  </si>
  <si>
    <t>CUST272</t>
  </si>
  <si>
    <t>ORD0379</t>
  </si>
  <si>
    <t>2025-06-25</t>
  </si>
  <si>
    <t>CUST358</t>
  </si>
  <si>
    <t>Customer_132</t>
  </si>
  <si>
    <t>ORD0380</t>
  </si>
  <si>
    <t>2025-02-15</t>
  </si>
  <si>
    <t>CUST187</t>
  </si>
  <si>
    <t>Customer_96</t>
  </si>
  <si>
    <t>ORD0381</t>
  </si>
  <si>
    <t>CUST582</t>
  </si>
  <si>
    <t>Customer_289</t>
  </si>
  <si>
    <t>ORD0382</t>
  </si>
  <si>
    <t>CUST348</t>
  </si>
  <si>
    <t>ORD0383</t>
  </si>
  <si>
    <t>2025-07-18</t>
  </si>
  <si>
    <t>ORD0384</t>
  </si>
  <si>
    <t>2024-06-05</t>
  </si>
  <si>
    <t>ORD0385</t>
  </si>
  <si>
    <t>2024-11-30</t>
  </si>
  <si>
    <t>CUST271</t>
  </si>
  <si>
    <t>ORD0386</t>
  </si>
  <si>
    <t>2024-01-08</t>
  </si>
  <si>
    <t>CUST186</t>
  </si>
  <si>
    <t>ORD0387</t>
  </si>
  <si>
    <t>Customer_9</t>
  </si>
  <si>
    <t>ORD0388</t>
  </si>
  <si>
    <t>CUST349</t>
  </si>
  <si>
    <t>ORD0389</t>
  </si>
  <si>
    <t>CUST589</t>
  </si>
  <si>
    <t>Customer_14</t>
  </si>
  <si>
    <t>ORD0390</t>
  </si>
  <si>
    <t>2024-11-10</t>
  </si>
  <si>
    <t>CUST730</t>
  </si>
  <si>
    <t>ORD0391</t>
  </si>
  <si>
    <t>2025-03-21</t>
  </si>
  <si>
    <t>CUST566</t>
  </si>
  <si>
    <t>ORD0392</t>
  </si>
  <si>
    <t>Customer_61</t>
  </si>
  <si>
    <t>ORD0393</t>
  </si>
  <si>
    <t>CUST602</t>
  </si>
  <si>
    <t>Customer_136</t>
  </si>
  <si>
    <t>ORD0394</t>
  </si>
  <si>
    <t>CUST102</t>
  </si>
  <si>
    <t>ORD0395</t>
  </si>
  <si>
    <t>2025-07-31</t>
  </si>
  <si>
    <t>CUST831</t>
  </si>
  <si>
    <t>Customer_2</t>
  </si>
  <si>
    <t>ORD0396</t>
  </si>
  <si>
    <t>ORD0397</t>
  </si>
  <si>
    <t>CUST549</t>
  </si>
  <si>
    <t>ORD0398</t>
  </si>
  <si>
    <t>CUST150</t>
  </si>
  <si>
    <t>Customer_178</t>
  </si>
  <si>
    <t>ORD0399</t>
  </si>
  <si>
    <t>ORD0400</t>
  </si>
  <si>
    <t>CUST138</t>
  </si>
  <si>
    <t>ORD0401</t>
  </si>
  <si>
    <t>CUST690</t>
  </si>
  <si>
    <t>ORD0402</t>
  </si>
  <si>
    <t>CUST608</t>
  </si>
  <si>
    <t>ORD0403</t>
  </si>
  <si>
    <t>CUST996</t>
  </si>
  <si>
    <t>ORD0404</t>
  </si>
  <si>
    <t>ORD0405</t>
  </si>
  <si>
    <t>Customer_297</t>
  </si>
  <si>
    <t>ORD0406</t>
  </si>
  <si>
    <t>2024-08-27</t>
  </si>
  <si>
    <t>ORD0407</t>
  </si>
  <si>
    <t>2025-07-11</t>
  </si>
  <si>
    <t>ORD0408</t>
  </si>
  <si>
    <t>2024-07-25</t>
  </si>
  <si>
    <t>CUST516</t>
  </si>
  <si>
    <t>Customer_128</t>
  </si>
  <si>
    <t>ORD0409</t>
  </si>
  <si>
    <t>2025-05-21</t>
  </si>
  <si>
    <t>Customer_163</t>
  </si>
  <si>
    <t>ORD0410</t>
  </si>
  <si>
    <t>ORD0411</t>
  </si>
  <si>
    <t>2024-06-02</t>
  </si>
  <si>
    <t>CUST766</t>
  </si>
  <si>
    <t>Customer_36</t>
  </si>
  <si>
    <t>ORD0412</t>
  </si>
  <si>
    <t>2025-02-28</t>
  </si>
  <si>
    <t>ORD0413</t>
  </si>
  <si>
    <t>2024-02-17</t>
  </si>
  <si>
    <t>CUST269</t>
  </si>
  <si>
    <t>Customer_230</t>
  </si>
  <si>
    <t>ORD0414</t>
  </si>
  <si>
    <t>CUST261</t>
  </si>
  <si>
    <t>ORD0415</t>
  </si>
  <si>
    <t>CUST655</t>
  </si>
  <si>
    <t>ORD0416</t>
  </si>
  <si>
    <t>2025-05-29</t>
  </si>
  <si>
    <t>CUST630</t>
  </si>
  <si>
    <t>ORD0417</t>
  </si>
  <si>
    <t>2024-11-08</t>
  </si>
  <si>
    <t>CUST931</t>
  </si>
  <si>
    <t>Customer_67</t>
  </si>
  <si>
    <t>ORD0418</t>
  </si>
  <si>
    <t>2024-06-19</t>
  </si>
  <si>
    <t>Customer_167</t>
  </si>
  <si>
    <t>ORD0419</t>
  </si>
  <si>
    <t>CUST872</t>
  </si>
  <si>
    <t>ORD0420</t>
  </si>
  <si>
    <t>ORD0421</t>
  </si>
  <si>
    <t>ORD0422</t>
  </si>
  <si>
    <t>ORD0423</t>
  </si>
  <si>
    <t>ORD0424</t>
  </si>
  <si>
    <t>CUST802</t>
  </si>
  <si>
    <t>ORD0425</t>
  </si>
  <si>
    <t>2025-02-08</t>
  </si>
  <si>
    <t>CUST591</t>
  </si>
  <si>
    <t>ORD0426</t>
  </si>
  <si>
    <t>Customer_119</t>
  </si>
  <si>
    <t>ORD0427</t>
  </si>
  <si>
    <t>2025-01-05</t>
  </si>
  <si>
    <t>CUST865</t>
  </si>
  <si>
    <t>ORD0428</t>
  </si>
  <si>
    <t>2025-05-16</t>
  </si>
  <si>
    <t>CUST755</t>
  </si>
  <si>
    <t>ORD0429</t>
  </si>
  <si>
    <t>2024-04-25</t>
  </si>
  <si>
    <t>ORD0430</t>
  </si>
  <si>
    <t>Customer_207</t>
  </si>
  <si>
    <t>ORD0431</t>
  </si>
  <si>
    <t>2024-02-16</t>
  </si>
  <si>
    <t>CUST579</t>
  </si>
  <si>
    <t>ORD0432</t>
  </si>
  <si>
    <t>2024-10-08</t>
  </si>
  <si>
    <t>ORD0433</t>
  </si>
  <si>
    <t>2024-09-06</t>
  </si>
  <si>
    <t>CUST446</t>
  </si>
  <si>
    <t>Customer_263</t>
  </si>
  <si>
    <t>ORD0434</t>
  </si>
  <si>
    <t>2025-06-02</t>
  </si>
  <si>
    <t>CUST785</t>
  </si>
  <si>
    <t>ORD0435</t>
  </si>
  <si>
    <t>2025-08-01</t>
  </si>
  <si>
    <t>ORD0436</t>
  </si>
  <si>
    <t>2025-03-27</t>
  </si>
  <si>
    <t>CUST616</t>
  </si>
  <si>
    <t>Customer_260</t>
  </si>
  <si>
    <t>ORD0437</t>
  </si>
  <si>
    <t>ORD0438</t>
  </si>
  <si>
    <t>CUST104</t>
  </si>
  <si>
    <t>ORD0439</t>
  </si>
  <si>
    <t>2024-04-18</t>
  </si>
  <si>
    <t>ORD0440</t>
  </si>
  <si>
    <t>2024-12-10</t>
  </si>
  <si>
    <t>ORD0441</t>
  </si>
  <si>
    <t>2025-03-23</t>
  </si>
  <si>
    <t>Customer_246</t>
  </si>
  <si>
    <t>ORD0442</t>
  </si>
  <si>
    <t>2024-04-05</t>
  </si>
  <si>
    <t>CUST300</t>
  </si>
  <si>
    <t>ORD0443</t>
  </si>
  <si>
    <t>ORD0444</t>
  </si>
  <si>
    <t>CUST536</t>
  </si>
  <si>
    <t>ORD0445</t>
  </si>
  <si>
    <t>2024-05-07</t>
  </si>
  <si>
    <t>CUST380</t>
  </si>
  <si>
    <t>ORD0446</t>
  </si>
  <si>
    <t>CUST578</t>
  </si>
  <si>
    <t>ORD0447</t>
  </si>
  <si>
    <t>2025-03-03</t>
  </si>
  <si>
    <t>ORD0448</t>
  </si>
  <si>
    <t>2024-10-19</t>
  </si>
  <si>
    <t>CUST324</t>
  </si>
  <si>
    <t>ORD0449</t>
  </si>
  <si>
    <t>2024-11-20</t>
  </si>
  <si>
    <t>CUST870</t>
  </si>
  <si>
    <t>ORD0450</t>
  </si>
  <si>
    <t>ORD0451</t>
  </si>
  <si>
    <t>2025-03-29</t>
  </si>
  <si>
    <t>CUST963</t>
  </si>
  <si>
    <t>ORD0452</t>
  </si>
  <si>
    <t>CUST210</t>
  </si>
  <si>
    <t>Customer_212</t>
  </si>
  <si>
    <t>ORD0453</t>
  </si>
  <si>
    <t>CUST914</t>
  </si>
  <si>
    <t>ORD0454</t>
  </si>
  <si>
    <t>ORD0455</t>
  </si>
  <si>
    <t>ORD0456</t>
  </si>
  <si>
    <t>2024-11-24</t>
  </si>
  <si>
    <t>ORD0457</t>
  </si>
  <si>
    <t>2024-02-29</t>
  </si>
  <si>
    <t>CUST753</t>
  </si>
  <si>
    <t>ORD0458</t>
  </si>
  <si>
    <t>ORD0459</t>
  </si>
  <si>
    <t>CUST841</t>
  </si>
  <si>
    <t>ORD0460</t>
  </si>
  <si>
    <t>2024-02-01</t>
  </si>
  <si>
    <t>ORD0461</t>
  </si>
  <si>
    <t>2024-12-03</t>
  </si>
  <si>
    <t>CUST705</t>
  </si>
  <si>
    <t>ORD0462</t>
  </si>
  <si>
    <t>2025-06-09</t>
  </si>
  <si>
    <t>Customer_104</t>
  </si>
  <si>
    <t>ORD0463</t>
  </si>
  <si>
    <t>2024-08-14</t>
  </si>
  <si>
    <t>CUST384</t>
  </si>
  <si>
    <t>ORD0464</t>
  </si>
  <si>
    <t>2024-08-03</t>
  </si>
  <si>
    <t>CUST293</t>
  </si>
  <si>
    <t>ORD0465</t>
  </si>
  <si>
    <t>CUST289</t>
  </si>
  <si>
    <t>ORD0466</t>
  </si>
  <si>
    <t>ORD0467</t>
  </si>
  <si>
    <t>CUST898</t>
  </si>
  <si>
    <t>ORD0468</t>
  </si>
  <si>
    <t>2025-03-30</t>
  </si>
  <si>
    <t>CUST974</t>
  </si>
  <si>
    <t>Customer_1</t>
  </si>
  <si>
    <t>ORD0469</t>
  </si>
  <si>
    <t>2025-05-26</t>
  </si>
  <si>
    <t>CUST497</t>
  </si>
  <si>
    <t>ORD0470</t>
  </si>
  <si>
    <t>2024-07-01</t>
  </si>
  <si>
    <t>ORD0471</t>
  </si>
  <si>
    <t>ORD0472</t>
  </si>
  <si>
    <t>2025-02-20</t>
  </si>
  <si>
    <t>CUST726</t>
  </si>
  <si>
    <t>Customer_159</t>
  </si>
  <si>
    <t>ORD0473</t>
  </si>
  <si>
    <t>2025-01-30</t>
  </si>
  <si>
    <t>ORD0474</t>
  </si>
  <si>
    <t>ORD0475</t>
  </si>
  <si>
    <t>ORD0476</t>
  </si>
  <si>
    <t>2024-12-23</t>
  </si>
  <si>
    <t>CUST777</t>
  </si>
  <si>
    <t>Customer_46</t>
  </si>
  <si>
    <t>ORD0477</t>
  </si>
  <si>
    <t>2025-05-24</t>
  </si>
  <si>
    <t>CUST801</t>
  </si>
  <si>
    <t>ORD0478</t>
  </si>
  <si>
    <t>2025-06-28</t>
  </si>
  <si>
    <t>ORD0479</t>
  </si>
  <si>
    <t>2024-10-15</t>
  </si>
  <si>
    <t>CUST492</t>
  </si>
  <si>
    <t>ORD0480</t>
  </si>
  <si>
    <t>2025-03-31</t>
  </si>
  <si>
    <t>CUST335</t>
  </si>
  <si>
    <t>ORD0481</t>
  </si>
  <si>
    <t>2025-08-25</t>
  </si>
  <si>
    <t>ORD0482</t>
  </si>
  <si>
    <t>2025-04-12</t>
  </si>
  <si>
    <t>ORD0483</t>
  </si>
  <si>
    <t>2024-02-07</t>
  </si>
  <si>
    <t>ORD0484</t>
  </si>
  <si>
    <t>2024-01-11</t>
  </si>
  <si>
    <t>CUST211</t>
  </si>
  <si>
    <t>Customer_252</t>
  </si>
  <si>
    <t>ORD0485</t>
  </si>
  <si>
    <t>2025-07-23</t>
  </si>
  <si>
    <t>CUST114</t>
  </si>
  <si>
    <t>ORD0486</t>
  </si>
  <si>
    <t>ORD0487</t>
  </si>
  <si>
    <t>ORD0488</t>
  </si>
  <si>
    <t>CUST623</t>
  </si>
  <si>
    <t>ORD0489</t>
  </si>
  <si>
    <t>ORD0490</t>
  </si>
  <si>
    <t>CUST656</t>
  </si>
  <si>
    <t>ORD0491</t>
  </si>
  <si>
    <t>2025-08-22</t>
  </si>
  <si>
    <t>ORD0492</t>
  </si>
  <si>
    <t>2024-05-08</t>
  </si>
  <si>
    <t>CUST204</t>
  </si>
  <si>
    <t>Customer_274</t>
  </si>
  <si>
    <t>ORD0493</t>
  </si>
  <si>
    <t>2025-04-10</t>
  </si>
  <si>
    <t>CUST325</t>
  </si>
  <si>
    <t>ORD0494</t>
  </si>
  <si>
    <t>CUST110</t>
  </si>
  <si>
    <t>ORD0495</t>
  </si>
  <si>
    <t>CUST125</t>
  </si>
  <si>
    <t>ORD0496</t>
  </si>
  <si>
    <t>2024-12-09</t>
  </si>
  <si>
    <t>ORD0497</t>
  </si>
  <si>
    <t>2025-05-08</t>
  </si>
  <si>
    <t>ORD0498</t>
  </si>
  <si>
    <t>2025-07-13</t>
  </si>
  <si>
    <t>CUST426</t>
  </si>
  <si>
    <t>ORD0499</t>
  </si>
  <si>
    <t>2024-09-20</t>
  </si>
  <si>
    <t>ORD0500</t>
  </si>
  <si>
    <t>2024-01-12</t>
  </si>
  <si>
    <t>CUST702</t>
  </si>
  <si>
    <t>ORD0501</t>
  </si>
  <si>
    <t>ORD0502</t>
  </si>
  <si>
    <t>2025-01-02</t>
  </si>
  <si>
    <t>Customer_243</t>
  </si>
  <si>
    <t>ORD0503</t>
  </si>
  <si>
    <t>ORD0504</t>
  </si>
  <si>
    <t>CUST485</t>
  </si>
  <si>
    <t>ORD0505</t>
  </si>
  <si>
    <t>2024-08-09</t>
  </si>
  <si>
    <t>CUST743</t>
  </si>
  <si>
    <t>ORD0506</t>
  </si>
  <si>
    <t>2024-12-29</t>
  </si>
  <si>
    <t>CUST677</t>
  </si>
  <si>
    <t>Customer_34</t>
  </si>
  <si>
    <t>ORD0507</t>
  </si>
  <si>
    <t>CUST701</t>
  </si>
  <si>
    <t>ORD0508</t>
  </si>
  <si>
    <t>CUST652</t>
  </si>
  <si>
    <t>ORD0509</t>
  </si>
  <si>
    <t>ORD0510</t>
  </si>
  <si>
    <t>2025-06-20</t>
  </si>
  <si>
    <t>Customer_27</t>
  </si>
  <si>
    <t>ORD0511</t>
  </si>
  <si>
    <t>CUST825</t>
  </si>
  <si>
    <t>ORD0512</t>
  </si>
  <si>
    <t>2025-08-17</t>
  </si>
  <si>
    <t>ORD0513</t>
  </si>
  <si>
    <t>CUST120</t>
  </si>
  <si>
    <t>ORD0514</t>
  </si>
  <si>
    <t>2025-04-03</t>
  </si>
  <si>
    <t>CUST241</t>
  </si>
  <si>
    <t>Customer_64</t>
  </si>
  <si>
    <t>ORD0515</t>
  </si>
  <si>
    <t>CUST140</t>
  </si>
  <si>
    <t>ORD0516</t>
  </si>
  <si>
    <t>2024-07-29</t>
  </si>
  <si>
    <t>ORD0517</t>
  </si>
  <si>
    <t>2024-05-25</t>
  </si>
  <si>
    <t>CUST706</t>
  </si>
  <si>
    <t>ORD0518</t>
  </si>
  <si>
    <t>CUST490</t>
  </si>
  <si>
    <t>ORD0519</t>
  </si>
  <si>
    <t>ORD0520</t>
  </si>
  <si>
    <t>2024-02-14</t>
  </si>
  <si>
    <t>CUST740</t>
  </si>
  <si>
    <t>ORD0521</t>
  </si>
  <si>
    <t>CUST846</t>
  </si>
  <si>
    <t>Customer_3</t>
  </si>
  <si>
    <t>ORD0522</t>
  </si>
  <si>
    <t>2024-08-30</t>
  </si>
  <si>
    <t>CUST281</t>
  </si>
  <si>
    <t>Customer_32</t>
  </si>
  <si>
    <t>ORD0523</t>
  </si>
  <si>
    <t>Customer_6</t>
  </si>
  <si>
    <t>ORD0524</t>
  </si>
  <si>
    <t>ORD0525</t>
  </si>
  <si>
    <t>2024-02-21</t>
  </si>
  <si>
    <t>ORD0526</t>
  </si>
  <si>
    <t>CUST431</t>
  </si>
  <si>
    <t>ORD0527</t>
  </si>
  <si>
    <t>2024-06-18</t>
  </si>
  <si>
    <t>ORD0528</t>
  </si>
  <si>
    <t>2025-06-24</t>
  </si>
  <si>
    <t>CUST736</t>
  </si>
  <si>
    <t>ORD0529</t>
  </si>
  <si>
    <t>2024-06-12</t>
  </si>
  <si>
    <t>CUST995</t>
  </si>
  <si>
    <t>ORD0530</t>
  </si>
  <si>
    <t>CUST555</t>
  </si>
  <si>
    <t>ORD0531</t>
  </si>
  <si>
    <t>2025-01-28</t>
  </si>
  <si>
    <t>CUST466</t>
  </si>
  <si>
    <t>Customer_254</t>
  </si>
  <si>
    <t>ORD0532</t>
  </si>
  <si>
    <t>2024-01-16</t>
  </si>
  <si>
    <t>CUST943</t>
  </si>
  <si>
    <t>ORD0533</t>
  </si>
  <si>
    <t>ORD0534</t>
  </si>
  <si>
    <t>2025-02-17</t>
  </si>
  <si>
    <t>Customer_106</t>
  </si>
  <si>
    <t>ORD0535</t>
  </si>
  <si>
    <t>CUST935</t>
  </si>
  <si>
    <t>Customer_39</t>
  </si>
  <si>
    <t>ORD0536</t>
  </si>
  <si>
    <t>CUST305</t>
  </si>
  <si>
    <t>ORD0537</t>
  </si>
  <si>
    <t>2025-03-17</t>
  </si>
  <si>
    <t>CUST449</t>
  </si>
  <si>
    <t>ORD0538</t>
  </si>
  <si>
    <t>ORD0539</t>
  </si>
  <si>
    <t>CUST142</t>
  </si>
  <si>
    <t>ORD0540</t>
  </si>
  <si>
    <t>2024-02-09</t>
  </si>
  <si>
    <t>ORD0541</t>
  </si>
  <si>
    <t>CUST855</t>
  </si>
  <si>
    <t>ORD0542</t>
  </si>
  <si>
    <t>2024-07-02</t>
  </si>
  <si>
    <t>ORD0543</t>
  </si>
  <si>
    <t>ORD0544</t>
  </si>
  <si>
    <t>2024-07-24</t>
  </si>
  <si>
    <t>Customer_282</t>
  </si>
  <si>
    <t>ORD0545</t>
  </si>
  <si>
    <t>CUST732</t>
  </si>
  <si>
    <t>Customer_204</t>
  </si>
  <si>
    <t>ORD0546</t>
  </si>
  <si>
    <t>2024-09-04</t>
  </si>
  <si>
    <t>CUST434</t>
  </si>
  <si>
    <t>ORD0547</t>
  </si>
  <si>
    <t>ORD0548</t>
  </si>
  <si>
    <t>ORD0549</t>
  </si>
  <si>
    <t>2025-07-22</t>
  </si>
  <si>
    <t>CUST868</t>
  </si>
  <si>
    <t>ORD0550</t>
  </si>
  <si>
    <t>Customer_155</t>
  </si>
  <si>
    <t>ORD0551</t>
  </si>
  <si>
    <t>ORD0552</t>
  </si>
  <si>
    <t>ORD0553</t>
  </si>
  <si>
    <t>ORD0554</t>
  </si>
  <si>
    <t>ORD0555</t>
  </si>
  <si>
    <t>2024-11-06</t>
  </si>
  <si>
    <t>CUST359</t>
  </si>
  <si>
    <t>ORD0556</t>
  </si>
  <si>
    <t>CUST627</t>
  </si>
  <si>
    <t>ORD0557</t>
  </si>
  <si>
    <t>CUST451</t>
  </si>
  <si>
    <t>Customer_236</t>
  </si>
  <si>
    <t>ORD0558</t>
  </si>
  <si>
    <t>2025-08-14</t>
  </si>
  <si>
    <t>CUST115</t>
  </si>
  <si>
    <t>Customer_56</t>
  </si>
  <si>
    <t>ORD0559</t>
  </si>
  <si>
    <t>CUST774</t>
  </si>
  <si>
    <t>ORD0560</t>
  </si>
  <si>
    <t>2025-03-08</t>
  </si>
  <si>
    <t>CUST493</t>
  </si>
  <si>
    <t>ORD0561</t>
  </si>
  <si>
    <t>CUST670</t>
  </si>
  <si>
    <t>ORD0562</t>
  </si>
  <si>
    <t>CUST180</t>
  </si>
  <si>
    <t>ORD0563</t>
  </si>
  <si>
    <t>ORD0564</t>
  </si>
  <si>
    <t>2025-05-09</t>
  </si>
  <si>
    <t>ORD0565</t>
  </si>
  <si>
    <t>ORD0566</t>
  </si>
  <si>
    <t>2024-05-16</t>
  </si>
  <si>
    <t>ORD0567</t>
  </si>
  <si>
    <t>ORD0568</t>
  </si>
  <si>
    <t>CUST878</t>
  </si>
  <si>
    <t>ORD0569</t>
  </si>
  <si>
    <t>2024-04-23</t>
  </si>
  <si>
    <t>ORD0570</t>
  </si>
  <si>
    <t>ORD0571</t>
  </si>
  <si>
    <t>ORD0572</t>
  </si>
  <si>
    <t>CUST849</t>
  </si>
  <si>
    <t>ORD0573</t>
  </si>
  <si>
    <t>2024-02-11</t>
  </si>
  <si>
    <t>CUST377</t>
  </si>
  <si>
    <t>ORD0574</t>
  </si>
  <si>
    <t>CUST507</t>
  </si>
  <si>
    <t>ORD0575</t>
  </si>
  <si>
    <t>2024-04-17</t>
  </si>
  <si>
    <t>ORD0576</t>
  </si>
  <si>
    <t>ORD0577</t>
  </si>
  <si>
    <t>2025-06-07</t>
  </si>
  <si>
    <t>CUST254</t>
  </si>
  <si>
    <t>ORD0578</t>
  </si>
  <si>
    <t>2024-07-08</t>
  </si>
  <si>
    <t>ORD0579</t>
  </si>
  <si>
    <t>Customer_44</t>
  </si>
  <si>
    <t>ORD0580</t>
  </si>
  <si>
    <t>2024-01-20</t>
  </si>
  <si>
    <t>CUST662</t>
  </si>
  <si>
    <t>ORD0581</t>
  </si>
  <si>
    <t>ORD0582</t>
  </si>
  <si>
    <t>CUST209</t>
  </si>
  <si>
    <t>ORD0583</t>
  </si>
  <si>
    <t>2024-03-17</t>
  </si>
  <si>
    <t>ORD0584</t>
  </si>
  <si>
    <t>2024-09-03</t>
  </si>
  <si>
    <t>ORD0585</t>
  </si>
  <si>
    <t>ORD0586</t>
  </si>
  <si>
    <t>CUST172</t>
  </si>
  <si>
    <t>ORD0587</t>
  </si>
  <si>
    <t>2025-01-29</t>
  </si>
  <si>
    <t>Customer_72</t>
  </si>
  <si>
    <t>ORD0588</t>
  </si>
  <si>
    <t>2025-05-23</t>
  </si>
  <si>
    <t>CUST522</t>
  </si>
  <si>
    <t>ORD0589</t>
  </si>
  <si>
    <t>CUST136</t>
  </si>
  <si>
    <t>ORD0590</t>
  </si>
  <si>
    <t>CUST738</t>
  </si>
  <si>
    <t>ORD0591</t>
  </si>
  <si>
    <t>ORD0592</t>
  </si>
  <si>
    <t>ORD0593</t>
  </si>
  <si>
    <t>CUST944</t>
  </si>
  <si>
    <t>Customer_130</t>
  </si>
  <si>
    <t>ORD0594</t>
  </si>
  <si>
    <t>2024-07-14</t>
  </si>
  <si>
    <t>CUST776</t>
  </si>
  <si>
    <t>Customer_195</t>
  </si>
  <si>
    <t>ORD0595</t>
  </si>
  <si>
    <t>CUST832</t>
  </si>
  <si>
    <t>Customer_5</t>
  </si>
  <si>
    <t>ORD0596</t>
  </si>
  <si>
    <t>ORD0597</t>
  </si>
  <si>
    <t>ORD0598</t>
  </si>
  <si>
    <t>CUST427</t>
  </si>
  <si>
    <t>ORD0599</t>
  </si>
  <si>
    <t>2025-01-15</t>
  </si>
  <si>
    <t>ORD0600</t>
  </si>
  <si>
    <t>2025-07-09</t>
  </si>
  <si>
    <t>ORD0601</t>
  </si>
  <si>
    <t>2025-05-07</t>
  </si>
  <si>
    <t>CUST762</t>
  </si>
  <si>
    <t>ORD0602</t>
  </si>
  <si>
    <t>2025-06-11</t>
  </si>
  <si>
    <t>ORD0603</t>
  </si>
  <si>
    <t>2024-06-04</t>
  </si>
  <si>
    <t>CUST678</t>
  </si>
  <si>
    <t>ORD0604</t>
  </si>
  <si>
    <t>2025-02-09</t>
  </si>
  <si>
    <t>ORD0605</t>
  </si>
  <si>
    <t>CUST907</t>
  </si>
  <si>
    <t>ORD0606</t>
  </si>
  <si>
    <t>CUST847</t>
  </si>
  <si>
    <t>ORD0607</t>
  </si>
  <si>
    <t>CUST729</t>
  </si>
  <si>
    <t>ORD0608</t>
  </si>
  <si>
    <t>2024-07-12</t>
  </si>
  <si>
    <t>CUST538</t>
  </si>
  <si>
    <t>ORD0609</t>
  </si>
  <si>
    <t>2024-12-05</t>
  </si>
  <si>
    <t>CUST413</t>
  </si>
  <si>
    <t>ORD0610</t>
  </si>
  <si>
    <t>2025-04-25</t>
  </si>
  <si>
    <t>ORD0611</t>
  </si>
  <si>
    <t>CUST332</t>
  </si>
  <si>
    <t>ORD0612</t>
  </si>
  <si>
    <t>ORD0613</t>
  </si>
  <si>
    <t>2024-12-20</t>
  </si>
  <si>
    <t>Customer_152</t>
  </si>
  <si>
    <t>ORD0614</t>
  </si>
  <si>
    <t>2025-06-12</t>
  </si>
  <si>
    <t>ORD0615</t>
  </si>
  <si>
    <t>CUST714</t>
  </si>
  <si>
    <t>Customer_172</t>
  </si>
  <si>
    <t>ORD0616</t>
  </si>
  <si>
    <t>2024-04-12</t>
  </si>
  <si>
    <t>Customer_198</t>
  </si>
  <si>
    <t>ORD0617</t>
  </si>
  <si>
    <t>ORD0618</t>
  </si>
  <si>
    <t>2024-09-22</t>
  </si>
  <si>
    <t>ORD0619</t>
  </si>
  <si>
    <t>ORD0620</t>
  </si>
  <si>
    <t>CUST890</t>
  </si>
  <si>
    <t>ORD0621</t>
  </si>
  <si>
    <t>CUST194</t>
  </si>
  <si>
    <t>ORD0622</t>
  </si>
  <si>
    <t>2025-01-20</t>
  </si>
  <si>
    <t>ORD0623</t>
  </si>
  <si>
    <t>CUST280</t>
  </si>
  <si>
    <t>ORD0624</t>
  </si>
  <si>
    <t>CUST918</t>
  </si>
  <si>
    <t>ORD0625</t>
  </si>
  <si>
    <t>CUST626</t>
  </si>
  <si>
    <t>ORD0626</t>
  </si>
  <si>
    <t>2025-07-05</t>
  </si>
  <si>
    <t>CUST790</t>
  </si>
  <si>
    <t>ORD0627</t>
  </si>
  <si>
    <t>2025-03-01</t>
  </si>
  <si>
    <t>ORD0628</t>
  </si>
  <si>
    <t>ORD0629</t>
  </si>
  <si>
    <t>CUST759</t>
  </si>
  <si>
    <t>ORD0630</t>
  </si>
  <si>
    <t>CUST265</t>
  </si>
  <si>
    <t>ORD0631</t>
  </si>
  <si>
    <t>2024-06-27</t>
  </si>
  <si>
    <t>ORD0632</t>
  </si>
  <si>
    <t>CUST173</t>
  </si>
  <si>
    <t>ORD0633</t>
  </si>
  <si>
    <t>ORD0634</t>
  </si>
  <si>
    <t>ORD0635</t>
  </si>
  <si>
    <t>ORD0636</t>
  </si>
  <si>
    <t>2024-11-07</t>
  </si>
  <si>
    <t>ORD0637</t>
  </si>
  <si>
    <t>ORD0638</t>
  </si>
  <si>
    <t>CUST295</t>
  </si>
  <si>
    <t>ORD0639</t>
  </si>
  <si>
    <t>2024-01-26</t>
  </si>
  <si>
    <t>ORD0640</t>
  </si>
  <si>
    <t>2024-10-06</t>
  </si>
  <si>
    <t>Customer_293</t>
  </si>
  <si>
    <t>ORD0641</t>
  </si>
  <si>
    <t>2025-05-01</t>
  </si>
  <si>
    <t>CUST530</t>
  </si>
  <si>
    <t>ORD0642</t>
  </si>
  <si>
    <t>CUST607</t>
  </si>
  <si>
    <t>ORD0643</t>
  </si>
  <si>
    <t>ORD0644</t>
  </si>
  <si>
    <t>2024-02-20</t>
  </si>
  <si>
    <t>CUST465</t>
  </si>
  <si>
    <t>ORD0645</t>
  </si>
  <si>
    <t>ORD0646</t>
  </si>
  <si>
    <t>ORD0647</t>
  </si>
  <si>
    <t>2025-03-15</t>
  </si>
  <si>
    <t>ORD0648</t>
  </si>
  <si>
    <t>ORD0649</t>
  </si>
  <si>
    <t>CUST228</t>
  </si>
  <si>
    <t>ORD0650</t>
  </si>
  <si>
    <t>2024-04-26</t>
  </si>
  <si>
    <t>CUST224</t>
  </si>
  <si>
    <t>ORD0651</t>
  </si>
  <si>
    <t>ORD0652</t>
  </si>
  <si>
    <t>CUST195</t>
  </si>
  <si>
    <t>ORD0653</t>
  </si>
  <si>
    <t>ORD0654</t>
  </si>
  <si>
    <t>ORD0655</t>
  </si>
  <si>
    <t>2024-11-23</t>
  </si>
  <si>
    <t>ORD0656</t>
  </si>
  <si>
    <t>2025-03-20</t>
  </si>
  <si>
    <t>CUST646</t>
  </si>
  <si>
    <t>ORD0657</t>
  </si>
  <si>
    <t>ORD0658</t>
  </si>
  <si>
    <t>CUST945</t>
  </si>
  <si>
    <t>ORD0659</t>
  </si>
  <si>
    <t>ORD0660</t>
  </si>
  <si>
    <t>CUST163</t>
  </si>
  <si>
    <t>Customer_228</t>
  </si>
  <si>
    <t>ORD0661</t>
  </si>
  <si>
    <t>ORD0662</t>
  </si>
  <si>
    <t>CUST874</t>
  </si>
  <si>
    <t>ORD0663</t>
  </si>
  <si>
    <t>ORD0664</t>
  </si>
  <si>
    <t>2024-02-15</t>
  </si>
  <si>
    <t>CUST199</t>
  </si>
  <si>
    <t>ORD0665</t>
  </si>
  <si>
    <t>2025-07-25</t>
  </si>
  <si>
    <t>CUST480</t>
  </si>
  <si>
    <t>ORD0666</t>
  </si>
  <si>
    <t>ORD0667</t>
  </si>
  <si>
    <t>2024-05-21</t>
  </si>
  <si>
    <t>ORD0668</t>
  </si>
  <si>
    <t>2025-05-06</t>
  </si>
  <si>
    <t>CUST368</t>
  </si>
  <si>
    <t>ORD0669</t>
  </si>
  <si>
    <t>ORD0670</t>
  </si>
  <si>
    <t>CUST526</t>
  </si>
  <si>
    <t>ORD0671</t>
  </si>
  <si>
    <t>2025-03-16</t>
  </si>
  <si>
    <t>CUST540</t>
  </si>
  <si>
    <t>ORD0672</t>
  </si>
  <si>
    <t>2024-03-19</t>
  </si>
  <si>
    <t>CUST470</t>
  </si>
  <si>
    <t>ORD0673</t>
  </si>
  <si>
    <t>ORD0674</t>
  </si>
  <si>
    <t>2025-05-17</t>
  </si>
  <si>
    <t>CUST162</t>
  </si>
  <si>
    <t>Customer_176</t>
  </si>
  <si>
    <t>ORD0675</t>
  </si>
  <si>
    <t>2024-08-08</t>
  </si>
  <si>
    <t>ORD0676</t>
  </si>
  <si>
    <t>2024-10-03</t>
  </si>
  <si>
    <t>ORD0677</t>
  </si>
  <si>
    <t>ORD0678</t>
  </si>
  <si>
    <t>CUST236</t>
  </si>
  <si>
    <t>ORD0679</t>
  </si>
  <si>
    <t>2025-08-24</t>
  </si>
  <si>
    <t>ORD0680</t>
  </si>
  <si>
    <t>ORD0681</t>
  </si>
  <si>
    <t>CUST879</t>
  </si>
  <si>
    <t>ORD0682</t>
  </si>
  <si>
    <t>2024-04-10</t>
  </si>
  <si>
    <t>CUST959</t>
  </si>
  <si>
    <t>ORD0683</t>
  </si>
  <si>
    <t>CUST741</t>
  </si>
  <si>
    <t>ORD0684</t>
  </si>
  <si>
    <t>2025-07-29</t>
  </si>
  <si>
    <t>CUST858</t>
  </si>
  <si>
    <t>ORD0685</t>
  </si>
  <si>
    <t>CUST925</t>
  </si>
  <si>
    <t>ORD0686</t>
  </si>
  <si>
    <t>CUST902</t>
  </si>
  <si>
    <t>ORD0687</t>
  </si>
  <si>
    <t>2025-03-04</t>
  </si>
  <si>
    <t>CUST966</t>
  </si>
  <si>
    <t>ORD0688</t>
  </si>
  <si>
    <t>2024-05-06</t>
  </si>
  <si>
    <t>CUST697</t>
  </si>
  <si>
    <t>ORD0689</t>
  </si>
  <si>
    <t>Customer_190</t>
  </si>
  <si>
    <t>ORD0690</t>
  </si>
  <si>
    <t>CUST258</t>
  </si>
  <si>
    <t>ORD0691</t>
  </si>
  <si>
    <t>CUST371</t>
  </si>
  <si>
    <t>Customer_290</t>
  </si>
  <si>
    <t>ORD0692</t>
  </si>
  <si>
    <t>2024-05-18</t>
  </si>
  <si>
    <t>ORD0693</t>
  </si>
  <si>
    <t>ORD0694</t>
  </si>
  <si>
    <t>ORD0695</t>
  </si>
  <si>
    <t>ORD0696</t>
  </si>
  <si>
    <t>CUST437</t>
  </si>
  <si>
    <t>ORD0697</t>
  </si>
  <si>
    <t>CUST364</t>
  </si>
  <si>
    <t>ORD0698</t>
  </si>
  <si>
    <t>CUST639</t>
  </si>
  <si>
    <t>ORD0699</t>
  </si>
  <si>
    <t>ORD0700</t>
  </si>
  <si>
    <t>CUST749</t>
  </si>
  <si>
    <t>Row Labels</t>
  </si>
  <si>
    <t>Grand Total</t>
  </si>
  <si>
    <t>(All)</t>
  </si>
  <si>
    <t>Sum of amount</t>
  </si>
  <si>
    <t>Count of order_id</t>
  </si>
  <si>
    <t>January</t>
  </si>
  <si>
    <t>February</t>
  </si>
  <si>
    <t>March</t>
  </si>
  <si>
    <t>April</t>
  </si>
  <si>
    <t>May</t>
  </si>
  <si>
    <t>June</t>
  </si>
  <si>
    <t>July</t>
  </si>
  <si>
    <t>August</t>
  </si>
  <si>
    <t>September</t>
  </si>
  <si>
    <t>October</t>
  </si>
  <si>
    <t>November</t>
  </si>
  <si>
    <t>December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</si>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</sst>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brand.xlsx]Dashboard!PivotTable1</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solidFill>
                  <a:schemeClr val="accent2">
                    <a:lumMod val="50000"/>
                  </a:schemeClr>
                </a:solidFill>
              </a:rPr>
              <a:t>Sales</a:t>
            </a:r>
            <a:r>
              <a:rPr lang="en-US" b="1" baseline="0">
                <a:solidFill>
                  <a:schemeClr val="accent2">
                    <a:lumMod val="50000"/>
                  </a:schemeClr>
                </a:solidFill>
              </a:rPr>
              <a:t> by</a:t>
            </a:r>
          </a:p>
          <a:p>
            <a:pPr>
              <a:defRPr/>
            </a:pPr>
            <a:r>
              <a:rPr lang="en-US" b="1" baseline="0">
                <a:solidFill>
                  <a:schemeClr val="accent2">
                    <a:lumMod val="50000"/>
                  </a:schemeClr>
                </a:solidFill>
              </a:rPr>
              <a:t> Products</a:t>
            </a:r>
            <a:endParaRPr lang="en-US" b="1">
              <a:solidFill>
                <a:schemeClr val="accent2">
                  <a:lumMod val="50000"/>
                </a:schemeClr>
              </a:solidFill>
            </a:endParaRPr>
          </a:p>
        </c:rich>
      </c:tx>
      <c:layout>
        <c:manualLayout>
          <c:xMode val="edge"/>
          <c:yMode val="edge"/>
          <c:x val="0.28887974458917282"/>
          <c:y val="0.51301030824288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38000"/>
            </a:schemeClr>
          </a:solidFill>
          <a:ln>
            <a:noFill/>
          </a:ln>
          <a:effectLst>
            <a:outerShdw blurRad="317500" algn="ctr" rotWithShape="0">
              <a:prstClr val="black">
                <a:alpha val="25000"/>
              </a:prstClr>
            </a:outerShdw>
          </a:effectLst>
        </c:spPr>
      </c:pivotFmt>
      <c:pivotFmt>
        <c:idx val="2"/>
        <c:spPr>
          <a:solidFill>
            <a:schemeClr val="accent2">
              <a:shade val="47000"/>
            </a:schemeClr>
          </a:solidFill>
          <a:ln>
            <a:noFill/>
          </a:ln>
          <a:effectLst>
            <a:outerShdw blurRad="317500" algn="ctr" rotWithShape="0">
              <a:prstClr val="black">
                <a:alpha val="25000"/>
              </a:prstClr>
            </a:outerShdw>
          </a:effectLst>
        </c:spPr>
      </c:pivotFmt>
      <c:pivotFmt>
        <c:idx val="3"/>
        <c:spPr>
          <a:solidFill>
            <a:schemeClr val="accent2">
              <a:shade val="56000"/>
            </a:schemeClr>
          </a:solidFill>
          <a:ln>
            <a:noFill/>
          </a:ln>
          <a:effectLst>
            <a:outerShdw blurRad="317500" algn="ctr" rotWithShape="0">
              <a:prstClr val="black">
                <a:alpha val="25000"/>
              </a:prstClr>
            </a:outerShdw>
          </a:effectLst>
        </c:spPr>
      </c:pivotFmt>
      <c:pivotFmt>
        <c:idx val="4"/>
        <c:spPr>
          <a:solidFill>
            <a:schemeClr val="accent2">
              <a:shade val="65000"/>
            </a:schemeClr>
          </a:solidFill>
          <a:ln>
            <a:noFill/>
          </a:ln>
          <a:effectLst>
            <a:outerShdw blurRad="317500" algn="ctr" rotWithShape="0">
              <a:prstClr val="black">
                <a:alpha val="25000"/>
              </a:prstClr>
            </a:outerShdw>
          </a:effectLst>
        </c:spPr>
      </c:pivotFmt>
      <c:pivotFmt>
        <c:idx val="5"/>
        <c:spPr>
          <a:solidFill>
            <a:schemeClr val="accent2">
              <a:shade val="73000"/>
            </a:schemeClr>
          </a:solidFill>
          <a:ln>
            <a:noFill/>
          </a:ln>
          <a:effectLst>
            <a:outerShdw blurRad="317500" algn="ctr" rotWithShape="0">
              <a:prstClr val="black">
                <a:alpha val="25000"/>
              </a:prstClr>
            </a:outerShdw>
          </a:effectLst>
        </c:spPr>
      </c:pivotFmt>
      <c:pivotFmt>
        <c:idx val="6"/>
        <c:spPr>
          <a:solidFill>
            <a:schemeClr val="accent2">
              <a:shade val="82000"/>
            </a:schemeClr>
          </a:solidFill>
          <a:ln>
            <a:noFill/>
          </a:ln>
          <a:effectLst>
            <a:outerShdw blurRad="317500" algn="ctr" rotWithShape="0">
              <a:prstClr val="black">
                <a:alpha val="25000"/>
              </a:prstClr>
            </a:outerShdw>
          </a:effectLst>
        </c:spPr>
      </c:pivotFmt>
      <c:pivotFmt>
        <c:idx val="7"/>
        <c:spPr>
          <a:solidFill>
            <a:schemeClr val="accent2">
              <a:shade val="91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tint val="92000"/>
            </a:schemeClr>
          </a:solidFill>
          <a:ln>
            <a:noFill/>
          </a:ln>
          <a:effectLst>
            <a:outerShdw blurRad="317500" algn="ctr" rotWithShape="0">
              <a:prstClr val="black">
                <a:alpha val="25000"/>
              </a:prstClr>
            </a:outerShdw>
          </a:effectLst>
        </c:spPr>
      </c:pivotFmt>
      <c:pivotFmt>
        <c:idx val="10"/>
        <c:spPr>
          <a:solidFill>
            <a:schemeClr val="accent2">
              <a:tint val="83000"/>
            </a:schemeClr>
          </a:solidFill>
          <a:ln>
            <a:noFill/>
          </a:ln>
          <a:effectLst>
            <a:outerShdw blurRad="317500" algn="ctr" rotWithShape="0">
              <a:prstClr val="black">
                <a:alpha val="25000"/>
              </a:prstClr>
            </a:outerShdw>
          </a:effectLst>
        </c:spPr>
      </c:pivotFmt>
      <c:pivotFmt>
        <c:idx val="11"/>
        <c:spPr>
          <a:solidFill>
            <a:schemeClr val="accent2">
              <a:tint val="74000"/>
            </a:schemeClr>
          </a:solidFill>
          <a:ln>
            <a:noFill/>
          </a:ln>
          <a:effectLst>
            <a:outerShdw blurRad="317500" algn="ctr" rotWithShape="0">
              <a:prstClr val="black">
                <a:alpha val="25000"/>
              </a:prstClr>
            </a:outerShdw>
          </a:effectLst>
        </c:spPr>
      </c:pivotFmt>
      <c:pivotFmt>
        <c:idx val="12"/>
        <c:spPr>
          <a:solidFill>
            <a:schemeClr val="accent2">
              <a:tint val="65000"/>
            </a:schemeClr>
          </a:solidFill>
          <a:ln>
            <a:noFill/>
          </a:ln>
          <a:effectLst>
            <a:outerShdw blurRad="317500" algn="ctr" rotWithShape="0">
              <a:prstClr val="black">
                <a:alpha val="25000"/>
              </a:prstClr>
            </a:outerShdw>
          </a:effectLst>
        </c:spPr>
      </c:pivotFmt>
      <c:pivotFmt>
        <c:idx val="13"/>
        <c:spPr>
          <a:solidFill>
            <a:schemeClr val="accent2">
              <a:tint val="57000"/>
            </a:schemeClr>
          </a:solidFill>
          <a:ln>
            <a:noFill/>
          </a:ln>
          <a:effectLst>
            <a:outerShdw blurRad="317500" algn="ctr" rotWithShape="0">
              <a:prstClr val="black">
                <a:alpha val="25000"/>
              </a:prstClr>
            </a:outerShdw>
          </a:effectLst>
        </c:spPr>
      </c:pivotFmt>
      <c:pivotFmt>
        <c:idx val="14"/>
        <c:spPr>
          <a:solidFill>
            <a:schemeClr val="accent2">
              <a:tint val="48000"/>
            </a:schemeClr>
          </a:solidFill>
          <a:ln>
            <a:noFill/>
          </a:ln>
          <a:effectLst>
            <a:outerShdw blurRad="317500" algn="ctr" rotWithShape="0">
              <a:prstClr val="black">
                <a:alpha val="25000"/>
              </a:prstClr>
            </a:outerShdw>
          </a:effectLst>
        </c:spPr>
      </c:pivotFmt>
      <c:pivotFmt>
        <c:idx val="15"/>
        <c:spPr>
          <a:solidFill>
            <a:schemeClr val="accent2">
              <a:tint val="39000"/>
            </a:schemeClr>
          </a:solidFill>
          <a:ln>
            <a:noFill/>
          </a:ln>
          <a:effectLst>
            <a:outerShdw blurRad="317500" algn="ctr" rotWithShape="0">
              <a:prstClr val="black">
                <a:alpha val="25000"/>
              </a:prstClr>
            </a:outerShdw>
          </a:effectLst>
        </c:spPr>
      </c:pivotFmt>
      <c:pivotFmt>
        <c:idx val="1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hade val="38000"/>
            </a:schemeClr>
          </a:solidFill>
          <a:ln>
            <a:noFill/>
          </a:ln>
          <a:effectLst>
            <a:outerShdw blurRad="317500" algn="ctr" rotWithShape="0">
              <a:prstClr val="black">
                <a:alpha val="25000"/>
              </a:prstClr>
            </a:outerShdw>
          </a:effectLst>
        </c:spPr>
      </c:pivotFmt>
      <c:pivotFmt>
        <c:idx val="18"/>
        <c:spPr>
          <a:solidFill>
            <a:schemeClr val="accent2">
              <a:shade val="47000"/>
            </a:schemeClr>
          </a:solidFill>
          <a:ln>
            <a:noFill/>
          </a:ln>
          <a:effectLst>
            <a:outerShdw blurRad="317500" algn="ctr" rotWithShape="0">
              <a:prstClr val="black">
                <a:alpha val="25000"/>
              </a:prstClr>
            </a:outerShdw>
          </a:effectLst>
        </c:spPr>
      </c:pivotFmt>
      <c:pivotFmt>
        <c:idx val="19"/>
        <c:spPr>
          <a:solidFill>
            <a:schemeClr val="accent2">
              <a:shade val="56000"/>
            </a:schemeClr>
          </a:solidFill>
          <a:ln>
            <a:noFill/>
          </a:ln>
          <a:effectLst>
            <a:outerShdw blurRad="317500" algn="ctr" rotWithShape="0">
              <a:prstClr val="black">
                <a:alpha val="25000"/>
              </a:prstClr>
            </a:outerShdw>
          </a:effectLst>
        </c:spPr>
      </c:pivotFmt>
      <c:pivotFmt>
        <c:idx val="20"/>
        <c:spPr>
          <a:solidFill>
            <a:schemeClr val="accent2">
              <a:shade val="65000"/>
            </a:schemeClr>
          </a:solidFill>
          <a:ln>
            <a:noFill/>
          </a:ln>
          <a:effectLst>
            <a:outerShdw blurRad="317500" algn="ctr" rotWithShape="0">
              <a:prstClr val="black">
                <a:alpha val="25000"/>
              </a:prstClr>
            </a:outerShdw>
          </a:effectLst>
        </c:spPr>
      </c:pivotFmt>
      <c:pivotFmt>
        <c:idx val="21"/>
        <c:spPr>
          <a:solidFill>
            <a:schemeClr val="accent2">
              <a:shade val="73000"/>
            </a:schemeClr>
          </a:solidFill>
          <a:ln>
            <a:noFill/>
          </a:ln>
          <a:effectLst>
            <a:outerShdw blurRad="317500" algn="ctr" rotWithShape="0">
              <a:prstClr val="black">
                <a:alpha val="25000"/>
              </a:prstClr>
            </a:outerShdw>
          </a:effectLst>
        </c:spPr>
      </c:pivotFmt>
      <c:pivotFmt>
        <c:idx val="22"/>
        <c:spPr>
          <a:solidFill>
            <a:schemeClr val="accent2">
              <a:shade val="82000"/>
            </a:schemeClr>
          </a:solidFill>
          <a:ln>
            <a:noFill/>
          </a:ln>
          <a:effectLst>
            <a:outerShdw blurRad="317500" algn="ctr" rotWithShape="0">
              <a:prstClr val="black">
                <a:alpha val="25000"/>
              </a:prstClr>
            </a:outerShdw>
          </a:effectLst>
        </c:spPr>
      </c:pivotFmt>
      <c:pivotFmt>
        <c:idx val="23"/>
        <c:spPr>
          <a:solidFill>
            <a:schemeClr val="accent2">
              <a:shade val="91000"/>
            </a:schemeClr>
          </a:solidFill>
          <a:ln>
            <a:noFill/>
          </a:ln>
          <a:effectLst>
            <a:outerShdw blurRad="317500" algn="ctr" rotWithShape="0">
              <a:prstClr val="black">
                <a:alpha val="25000"/>
              </a:prstClr>
            </a:outerShdw>
          </a:effectLst>
        </c:spPr>
      </c:pivotFmt>
      <c:pivotFmt>
        <c:idx val="24"/>
        <c:spPr>
          <a:solidFill>
            <a:schemeClr val="accent2"/>
          </a:solidFill>
          <a:ln>
            <a:noFill/>
          </a:ln>
          <a:effectLst>
            <a:outerShdw blurRad="317500" algn="ctr" rotWithShape="0">
              <a:prstClr val="black">
                <a:alpha val="25000"/>
              </a:prstClr>
            </a:outerShdw>
          </a:effectLst>
        </c:spPr>
      </c:pivotFmt>
      <c:pivotFmt>
        <c:idx val="25"/>
        <c:spPr>
          <a:solidFill>
            <a:schemeClr val="accent2">
              <a:tint val="92000"/>
            </a:schemeClr>
          </a:solidFill>
          <a:ln>
            <a:noFill/>
          </a:ln>
          <a:effectLst>
            <a:outerShdw blurRad="317500" algn="ctr" rotWithShape="0">
              <a:prstClr val="black">
                <a:alpha val="25000"/>
              </a:prstClr>
            </a:outerShdw>
          </a:effectLst>
        </c:spPr>
      </c:pivotFmt>
      <c:pivotFmt>
        <c:idx val="26"/>
        <c:spPr>
          <a:solidFill>
            <a:schemeClr val="accent2">
              <a:tint val="83000"/>
            </a:schemeClr>
          </a:solidFill>
          <a:ln>
            <a:noFill/>
          </a:ln>
          <a:effectLst>
            <a:outerShdw blurRad="317500" algn="ctr" rotWithShape="0">
              <a:prstClr val="black">
                <a:alpha val="25000"/>
              </a:prstClr>
            </a:outerShdw>
          </a:effectLst>
        </c:spPr>
      </c:pivotFmt>
      <c:pivotFmt>
        <c:idx val="27"/>
        <c:spPr>
          <a:solidFill>
            <a:schemeClr val="accent2">
              <a:tint val="74000"/>
            </a:schemeClr>
          </a:solidFill>
          <a:ln>
            <a:noFill/>
          </a:ln>
          <a:effectLst>
            <a:outerShdw blurRad="317500" algn="ctr" rotWithShape="0">
              <a:prstClr val="black">
                <a:alpha val="25000"/>
              </a:prstClr>
            </a:outerShdw>
          </a:effectLst>
        </c:spPr>
      </c:pivotFmt>
      <c:pivotFmt>
        <c:idx val="28"/>
        <c:spPr>
          <a:solidFill>
            <a:schemeClr val="accent2">
              <a:tint val="65000"/>
            </a:schemeClr>
          </a:solidFill>
          <a:ln>
            <a:noFill/>
          </a:ln>
          <a:effectLst>
            <a:outerShdw blurRad="317500" algn="ctr" rotWithShape="0">
              <a:prstClr val="black">
                <a:alpha val="25000"/>
              </a:prstClr>
            </a:outerShdw>
          </a:effectLst>
        </c:spPr>
      </c:pivotFmt>
      <c:pivotFmt>
        <c:idx val="29"/>
        <c:spPr>
          <a:solidFill>
            <a:schemeClr val="accent2">
              <a:tint val="57000"/>
            </a:schemeClr>
          </a:solidFill>
          <a:ln>
            <a:noFill/>
          </a:ln>
          <a:effectLst>
            <a:outerShdw blurRad="317500" algn="ctr" rotWithShape="0">
              <a:prstClr val="black">
                <a:alpha val="25000"/>
              </a:prstClr>
            </a:outerShdw>
          </a:effectLst>
        </c:spPr>
      </c:pivotFmt>
      <c:pivotFmt>
        <c:idx val="30"/>
        <c:spPr>
          <a:solidFill>
            <a:schemeClr val="accent2">
              <a:tint val="48000"/>
            </a:schemeClr>
          </a:solidFill>
          <a:ln>
            <a:noFill/>
          </a:ln>
          <a:effectLst>
            <a:outerShdw blurRad="317500" algn="ctr" rotWithShape="0">
              <a:prstClr val="black">
                <a:alpha val="25000"/>
              </a:prstClr>
            </a:outerShdw>
          </a:effectLst>
        </c:spPr>
      </c:pivotFmt>
      <c:pivotFmt>
        <c:idx val="31"/>
        <c:spPr>
          <a:solidFill>
            <a:schemeClr val="accent2">
              <a:tint val="39000"/>
            </a:schemeClr>
          </a:solidFill>
          <a:ln>
            <a:noFill/>
          </a:ln>
          <a:effectLst>
            <a:outerShdw blurRad="317500" algn="ctr" rotWithShape="0">
              <a:prstClr val="black">
                <a:alpha val="25000"/>
              </a:prstClr>
            </a:outerShdw>
          </a:effectLst>
        </c:spPr>
      </c:pivotFmt>
      <c:pivotFmt>
        <c:idx val="3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hade val="38000"/>
            </a:schemeClr>
          </a:solidFill>
          <a:ln>
            <a:noFill/>
          </a:ln>
          <a:effectLst>
            <a:outerShdw blurRad="317500" algn="ctr" rotWithShape="0">
              <a:prstClr val="black">
                <a:alpha val="25000"/>
              </a:prstClr>
            </a:outerShdw>
          </a:effectLst>
        </c:spPr>
      </c:pivotFmt>
      <c:pivotFmt>
        <c:idx val="34"/>
        <c:spPr>
          <a:solidFill>
            <a:schemeClr val="accent2">
              <a:shade val="47000"/>
            </a:schemeClr>
          </a:solidFill>
          <a:ln>
            <a:noFill/>
          </a:ln>
          <a:effectLst>
            <a:outerShdw blurRad="317500" algn="ctr" rotWithShape="0">
              <a:prstClr val="black">
                <a:alpha val="25000"/>
              </a:prstClr>
            </a:outerShdw>
          </a:effectLst>
        </c:spPr>
      </c:pivotFmt>
      <c:pivotFmt>
        <c:idx val="35"/>
        <c:spPr>
          <a:solidFill>
            <a:schemeClr val="accent2">
              <a:shade val="56000"/>
            </a:schemeClr>
          </a:solidFill>
          <a:ln>
            <a:noFill/>
          </a:ln>
          <a:effectLst>
            <a:outerShdw blurRad="317500" algn="ctr" rotWithShape="0">
              <a:prstClr val="black">
                <a:alpha val="25000"/>
              </a:prstClr>
            </a:outerShdw>
          </a:effectLst>
        </c:spPr>
      </c:pivotFmt>
      <c:pivotFmt>
        <c:idx val="36"/>
        <c:spPr>
          <a:solidFill>
            <a:schemeClr val="accent2">
              <a:shade val="65000"/>
            </a:schemeClr>
          </a:solidFill>
          <a:ln>
            <a:noFill/>
          </a:ln>
          <a:effectLst>
            <a:outerShdw blurRad="317500" algn="ctr" rotWithShape="0">
              <a:prstClr val="black">
                <a:alpha val="25000"/>
              </a:prstClr>
            </a:outerShdw>
          </a:effectLst>
        </c:spPr>
      </c:pivotFmt>
      <c:pivotFmt>
        <c:idx val="37"/>
        <c:spPr>
          <a:solidFill>
            <a:schemeClr val="accent2">
              <a:shade val="73000"/>
            </a:schemeClr>
          </a:solidFill>
          <a:ln>
            <a:noFill/>
          </a:ln>
          <a:effectLst>
            <a:outerShdw blurRad="317500" algn="ctr" rotWithShape="0">
              <a:prstClr val="black">
                <a:alpha val="25000"/>
              </a:prstClr>
            </a:outerShdw>
          </a:effectLst>
        </c:spPr>
      </c:pivotFmt>
      <c:pivotFmt>
        <c:idx val="38"/>
        <c:spPr>
          <a:solidFill>
            <a:schemeClr val="accent2">
              <a:shade val="82000"/>
            </a:schemeClr>
          </a:solidFill>
          <a:ln>
            <a:noFill/>
          </a:ln>
          <a:effectLst>
            <a:outerShdw blurRad="317500" algn="ctr" rotWithShape="0">
              <a:prstClr val="black">
                <a:alpha val="25000"/>
              </a:prstClr>
            </a:outerShdw>
          </a:effectLst>
        </c:spPr>
      </c:pivotFmt>
      <c:pivotFmt>
        <c:idx val="39"/>
        <c:spPr>
          <a:solidFill>
            <a:schemeClr val="accent2">
              <a:shade val="91000"/>
            </a:schemeClr>
          </a:solidFill>
          <a:ln>
            <a:noFill/>
          </a:ln>
          <a:effectLst>
            <a:outerShdw blurRad="317500" algn="ctr" rotWithShape="0">
              <a:prstClr val="black">
                <a:alpha val="25000"/>
              </a:prstClr>
            </a:outerShdw>
          </a:effectLst>
        </c:spPr>
      </c:pivotFmt>
      <c:pivotFmt>
        <c:idx val="40"/>
        <c:spPr>
          <a:solidFill>
            <a:schemeClr val="accent2"/>
          </a:solidFill>
          <a:ln>
            <a:noFill/>
          </a:ln>
          <a:effectLst>
            <a:outerShdw blurRad="317500" algn="ctr" rotWithShape="0">
              <a:prstClr val="black">
                <a:alpha val="25000"/>
              </a:prstClr>
            </a:outerShdw>
          </a:effectLst>
        </c:spPr>
      </c:pivotFmt>
      <c:pivotFmt>
        <c:idx val="41"/>
        <c:spPr>
          <a:solidFill>
            <a:schemeClr val="accent2">
              <a:tint val="92000"/>
            </a:schemeClr>
          </a:solidFill>
          <a:ln>
            <a:noFill/>
          </a:ln>
          <a:effectLst>
            <a:outerShdw blurRad="317500" algn="ctr" rotWithShape="0">
              <a:prstClr val="black">
                <a:alpha val="25000"/>
              </a:prstClr>
            </a:outerShdw>
          </a:effectLst>
        </c:spPr>
      </c:pivotFmt>
      <c:pivotFmt>
        <c:idx val="42"/>
        <c:spPr>
          <a:solidFill>
            <a:schemeClr val="accent2">
              <a:tint val="83000"/>
            </a:schemeClr>
          </a:solidFill>
          <a:ln>
            <a:noFill/>
          </a:ln>
          <a:effectLst>
            <a:outerShdw blurRad="317500" algn="ctr" rotWithShape="0">
              <a:prstClr val="black">
                <a:alpha val="25000"/>
              </a:prstClr>
            </a:outerShdw>
          </a:effectLst>
        </c:spPr>
      </c:pivotFmt>
      <c:pivotFmt>
        <c:idx val="43"/>
        <c:spPr>
          <a:solidFill>
            <a:schemeClr val="accent2">
              <a:tint val="74000"/>
            </a:schemeClr>
          </a:solidFill>
          <a:ln>
            <a:noFill/>
          </a:ln>
          <a:effectLst>
            <a:outerShdw blurRad="317500" algn="ctr" rotWithShape="0">
              <a:prstClr val="black">
                <a:alpha val="25000"/>
              </a:prstClr>
            </a:outerShdw>
          </a:effectLst>
        </c:spPr>
      </c:pivotFmt>
      <c:pivotFmt>
        <c:idx val="44"/>
        <c:spPr>
          <a:solidFill>
            <a:schemeClr val="accent2">
              <a:tint val="65000"/>
            </a:schemeClr>
          </a:solidFill>
          <a:ln>
            <a:noFill/>
          </a:ln>
          <a:effectLst>
            <a:outerShdw blurRad="317500" algn="ctr" rotWithShape="0">
              <a:prstClr val="black">
                <a:alpha val="25000"/>
              </a:prstClr>
            </a:outerShdw>
          </a:effectLst>
        </c:spPr>
      </c:pivotFmt>
      <c:pivotFmt>
        <c:idx val="45"/>
        <c:spPr>
          <a:solidFill>
            <a:schemeClr val="accent2">
              <a:tint val="57000"/>
            </a:schemeClr>
          </a:solidFill>
          <a:ln>
            <a:noFill/>
          </a:ln>
          <a:effectLst>
            <a:outerShdw blurRad="317500" algn="ctr" rotWithShape="0">
              <a:prstClr val="black">
                <a:alpha val="25000"/>
              </a:prstClr>
            </a:outerShdw>
          </a:effectLst>
        </c:spPr>
      </c:pivotFmt>
      <c:pivotFmt>
        <c:idx val="46"/>
        <c:spPr>
          <a:solidFill>
            <a:schemeClr val="accent2">
              <a:tint val="48000"/>
            </a:schemeClr>
          </a:solidFill>
          <a:ln>
            <a:noFill/>
          </a:ln>
          <a:effectLst>
            <a:outerShdw blurRad="317500" algn="ctr" rotWithShape="0">
              <a:prstClr val="black">
                <a:alpha val="25000"/>
              </a:prstClr>
            </a:outerShdw>
          </a:effectLst>
        </c:spPr>
      </c:pivotFmt>
      <c:pivotFmt>
        <c:idx val="47"/>
        <c:spPr>
          <a:solidFill>
            <a:schemeClr val="accent2">
              <a:tint val="39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Dashboard!$B$3</c:f>
              <c:strCache>
                <c:ptCount val="1"/>
                <c:pt idx="0">
                  <c:v>Total</c:v>
                </c:pt>
              </c:strCache>
            </c:strRef>
          </c:tx>
          <c:dPt>
            <c:idx val="0"/>
            <c:bubble3D val="0"/>
            <c:spPr>
              <a:solidFill>
                <a:schemeClr val="accent2">
                  <a:shade val="3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49-4D4E-ABB2-6CB7A784472B}"/>
              </c:ext>
            </c:extLst>
          </c:dPt>
          <c:dPt>
            <c:idx val="1"/>
            <c:bubble3D val="0"/>
            <c:spPr>
              <a:solidFill>
                <a:schemeClr val="accent2">
                  <a:shade val="4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49-4D4E-ABB2-6CB7A784472B}"/>
              </c:ext>
            </c:extLst>
          </c:dPt>
          <c:dPt>
            <c:idx val="2"/>
            <c:bubble3D val="0"/>
            <c:spPr>
              <a:solidFill>
                <a:schemeClr val="accent2">
                  <a:shade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49-4D4E-ABB2-6CB7A784472B}"/>
              </c:ext>
            </c:extLst>
          </c:dPt>
          <c:dPt>
            <c:idx val="3"/>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549-4D4E-ABB2-6CB7A784472B}"/>
              </c:ext>
            </c:extLst>
          </c:dPt>
          <c:dPt>
            <c:idx val="4"/>
            <c:bubble3D val="0"/>
            <c:spPr>
              <a:solidFill>
                <a:schemeClr val="accent2">
                  <a:shade val="7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549-4D4E-ABB2-6CB7A784472B}"/>
              </c:ext>
            </c:extLst>
          </c:dPt>
          <c:dPt>
            <c:idx val="5"/>
            <c:bubble3D val="0"/>
            <c:spPr>
              <a:solidFill>
                <a:schemeClr val="accent2">
                  <a:shade val="8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549-4D4E-ABB2-6CB7A784472B}"/>
              </c:ext>
            </c:extLst>
          </c:dPt>
          <c:dPt>
            <c:idx val="6"/>
            <c:bubble3D val="0"/>
            <c:spPr>
              <a:solidFill>
                <a:schemeClr val="accent2">
                  <a:shade val="9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549-4D4E-ABB2-6CB7A784472B}"/>
              </c:ext>
            </c:extLst>
          </c:dPt>
          <c:dPt>
            <c:idx val="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549-4D4E-ABB2-6CB7A784472B}"/>
              </c:ext>
            </c:extLst>
          </c:dPt>
          <c:dPt>
            <c:idx val="8"/>
            <c:bubble3D val="0"/>
            <c:spPr>
              <a:solidFill>
                <a:schemeClr val="accent2">
                  <a:tint val="9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A549-4D4E-ABB2-6CB7A784472B}"/>
              </c:ext>
            </c:extLst>
          </c:dPt>
          <c:dPt>
            <c:idx val="9"/>
            <c:bubble3D val="0"/>
            <c:spPr>
              <a:solidFill>
                <a:schemeClr val="accent2">
                  <a:tint val="8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A549-4D4E-ABB2-6CB7A784472B}"/>
              </c:ext>
            </c:extLst>
          </c:dPt>
          <c:dPt>
            <c:idx val="10"/>
            <c:bubble3D val="0"/>
            <c:spPr>
              <a:solidFill>
                <a:schemeClr val="accent2">
                  <a:tint val="7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A549-4D4E-ABB2-6CB7A784472B}"/>
              </c:ext>
            </c:extLst>
          </c:dPt>
          <c:dPt>
            <c:idx val="11"/>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A549-4D4E-ABB2-6CB7A784472B}"/>
              </c:ext>
            </c:extLst>
          </c:dPt>
          <c:dPt>
            <c:idx val="12"/>
            <c:bubble3D val="0"/>
            <c:spPr>
              <a:solidFill>
                <a:schemeClr val="accent2">
                  <a:tint val="5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A549-4D4E-ABB2-6CB7A784472B}"/>
              </c:ext>
            </c:extLst>
          </c:dPt>
          <c:dPt>
            <c:idx val="13"/>
            <c:bubble3D val="0"/>
            <c:spPr>
              <a:solidFill>
                <a:schemeClr val="accent2">
                  <a:tint val="4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A549-4D4E-ABB2-6CB7A784472B}"/>
              </c:ext>
            </c:extLst>
          </c:dPt>
          <c:dPt>
            <c:idx val="14"/>
            <c:bubble3D val="0"/>
            <c:spPr>
              <a:solidFill>
                <a:schemeClr val="accent2">
                  <a:tint val="39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A549-4D4E-ABB2-6CB7A78447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Dashboard!$A$4:$A$19</c:f>
              <c:strCache>
                <c:ptCount val="15"/>
                <c:pt idx="0">
                  <c:v>Lakme Blush</c:v>
                </c:pt>
                <c:pt idx="1">
                  <c:v>Lakme Compact</c:v>
                </c:pt>
                <c:pt idx="2">
                  <c:v>Lakme Eyeliner</c:v>
                </c:pt>
                <c:pt idx="3">
                  <c:v>Lakme Foundation</c:v>
                </c:pt>
                <c:pt idx="4">
                  <c:v>Lakme Lipstick</c:v>
                </c:pt>
                <c:pt idx="5">
                  <c:v>Nykaa Blush</c:v>
                </c:pt>
                <c:pt idx="6">
                  <c:v>Nykaa Compact</c:v>
                </c:pt>
                <c:pt idx="7">
                  <c:v>Nykaa Eyeliner</c:v>
                </c:pt>
                <c:pt idx="8">
                  <c:v>Nykaa Foundation</c:v>
                </c:pt>
                <c:pt idx="9">
                  <c:v>Nykaa Lipstick</c:v>
                </c:pt>
                <c:pt idx="10">
                  <c:v>Sugar Blush</c:v>
                </c:pt>
                <c:pt idx="11">
                  <c:v>Sugar Compact</c:v>
                </c:pt>
                <c:pt idx="12">
                  <c:v>Sugar Eyeliner</c:v>
                </c:pt>
                <c:pt idx="13">
                  <c:v>Sugar Foundation</c:v>
                </c:pt>
                <c:pt idx="14">
                  <c:v>Sugar Lipstick</c:v>
                </c:pt>
              </c:strCache>
            </c:strRef>
          </c:cat>
          <c:val>
            <c:numRef>
              <c:f>Dashboard!$B$4:$B$19</c:f>
              <c:numCache>
                <c:formatCode>General</c:formatCode>
                <c:ptCount val="15"/>
                <c:pt idx="0">
                  <c:v>206699</c:v>
                </c:pt>
                <c:pt idx="1">
                  <c:v>155430</c:v>
                </c:pt>
                <c:pt idx="2">
                  <c:v>87469</c:v>
                </c:pt>
                <c:pt idx="3">
                  <c:v>101782</c:v>
                </c:pt>
                <c:pt idx="4">
                  <c:v>100976</c:v>
                </c:pt>
                <c:pt idx="5">
                  <c:v>137002</c:v>
                </c:pt>
                <c:pt idx="6">
                  <c:v>144058</c:v>
                </c:pt>
                <c:pt idx="7">
                  <c:v>114338</c:v>
                </c:pt>
                <c:pt idx="8">
                  <c:v>82409</c:v>
                </c:pt>
                <c:pt idx="9">
                  <c:v>96317</c:v>
                </c:pt>
                <c:pt idx="10">
                  <c:v>97734</c:v>
                </c:pt>
                <c:pt idx="11">
                  <c:v>90973</c:v>
                </c:pt>
                <c:pt idx="12">
                  <c:v>116409</c:v>
                </c:pt>
                <c:pt idx="13">
                  <c:v>108091</c:v>
                </c:pt>
                <c:pt idx="14">
                  <c:v>121596</c:v>
                </c:pt>
              </c:numCache>
            </c:numRef>
          </c:val>
          <c:extLst>
            <c:ext xmlns:c16="http://schemas.microsoft.com/office/drawing/2014/chart" uri="{C3380CC4-5D6E-409C-BE32-E72D297353CC}">
              <c16:uniqueId val="{0000001E-A549-4D4E-ABB2-6CB7A784472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6"/>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7"/>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8"/>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9"/>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10"/>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11"/>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brand.xlsx]Dashboard!PivotTable2</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Sales</a:t>
            </a:r>
            <a:r>
              <a:rPr lang="en-IN" sz="1800" baseline="0">
                <a:solidFill>
                  <a:schemeClr val="accent2">
                    <a:lumMod val="50000"/>
                  </a:schemeClr>
                </a:solidFill>
              </a:rPr>
              <a:t> by Region</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pivotFmt>
      <c:pivotFmt>
        <c:idx val="3"/>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Dashboard!$E$3</c:f>
              <c:strCache>
                <c:ptCount val="1"/>
                <c:pt idx="0">
                  <c:v>Sum of amount</c:v>
                </c:pt>
              </c:strCache>
            </c:strRef>
          </c:tx>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invertIfNegative val="0"/>
          <c:cat>
            <c:strRef>
              <c:f>Dashboard!$D$4:$D$12</c:f>
              <c:strCache>
                <c:ptCount val="8"/>
                <c:pt idx="0">
                  <c:v>Ahmedabad</c:v>
                </c:pt>
                <c:pt idx="1">
                  <c:v>Bangalore</c:v>
                </c:pt>
                <c:pt idx="2">
                  <c:v>Chennai</c:v>
                </c:pt>
                <c:pt idx="3">
                  <c:v>Delhi</c:v>
                </c:pt>
                <c:pt idx="4">
                  <c:v>Hyderabad</c:v>
                </c:pt>
                <c:pt idx="5">
                  <c:v>Kolkata</c:v>
                </c:pt>
                <c:pt idx="6">
                  <c:v>Mumbai</c:v>
                </c:pt>
                <c:pt idx="7">
                  <c:v>Pune</c:v>
                </c:pt>
              </c:strCache>
            </c:strRef>
          </c:cat>
          <c:val>
            <c:numRef>
              <c:f>Dashboard!$E$4:$E$12</c:f>
              <c:numCache>
                <c:formatCode>General</c:formatCode>
                <c:ptCount val="8"/>
                <c:pt idx="0">
                  <c:v>204642</c:v>
                </c:pt>
                <c:pt idx="1">
                  <c:v>203547</c:v>
                </c:pt>
                <c:pt idx="2">
                  <c:v>197854</c:v>
                </c:pt>
                <c:pt idx="3">
                  <c:v>266331</c:v>
                </c:pt>
                <c:pt idx="4">
                  <c:v>195959</c:v>
                </c:pt>
                <c:pt idx="5">
                  <c:v>253347</c:v>
                </c:pt>
                <c:pt idx="6">
                  <c:v>221218</c:v>
                </c:pt>
                <c:pt idx="7">
                  <c:v>218385</c:v>
                </c:pt>
              </c:numCache>
            </c:numRef>
          </c:val>
          <c:extLst>
            <c:ext xmlns:c16="http://schemas.microsoft.com/office/drawing/2014/chart" uri="{C3380CC4-5D6E-409C-BE32-E72D297353CC}">
              <c16:uniqueId val="{00000000-AC5D-475E-8B04-BDB32C451341}"/>
            </c:ext>
          </c:extLst>
        </c:ser>
        <c:ser>
          <c:idx val="1"/>
          <c:order val="1"/>
          <c:tx>
            <c:strRef>
              <c:f>Dashboard!$F$3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Dashboard!$D$4:$D$12</c:f>
              <c:strCache>
                <c:ptCount val="8"/>
                <c:pt idx="0">
                  <c:v>Ahmedabad</c:v>
                </c:pt>
                <c:pt idx="1">
                  <c:v>Bangalore</c:v>
                </c:pt>
                <c:pt idx="2">
                  <c:v>Chennai</c:v>
                </c:pt>
                <c:pt idx="3">
                  <c:v>Delhi</c:v>
                </c:pt>
                <c:pt idx="4">
                  <c:v>Hyderabad</c:v>
                </c:pt>
                <c:pt idx="5">
                  <c:v>Kolkata</c:v>
                </c:pt>
                <c:pt idx="6">
                  <c:v>Mumbai</c:v>
                </c:pt>
                <c:pt idx="7">
                  <c:v>Pune</c:v>
                </c:pt>
              </c:strCache>
            </c:strRef>
          </c:cat>
          <c:val>
            <c:numRef>
              <c:f>Dashboard!$F$4:$F$12</c:f>
              <c:numCache>
                <c:formatCode>General</c:formatCode>
                <c:ptCount val="8"/>
                <c:pt idx="0">
                  <c:v>78</c:v>
                </c:pt>
                <c:pt idx="1">
                  <c:v>85</c:v>
                </c:pt>
                <c:pt idx="2">
                  <c:v>81</c:v>
                </c:pt>
                <c:pt idx="3">
                  <c:v>102</c:v>
                </c:pt>
                <c:pt idx="4">
                  <c:v>85</c:v>
                </c:pt>
                <c:pt idx="5">
                  <c:v>95</c:v>
                </c:pt>
                <c:pt idx="6">
                  <c:v>90</c:v>
                </c:pt>
                <c:pt idx="7">
                  <c:v>84</c:v>
                </c:pt>
              </c:numCache>
            </c:numRef>
          </c:val>
          <c:extLst>
            <c:ext xmlns:c16="http://schemas.microsoft.com/office/drawing/2014/chart" uri="{C3380CC4-5D6E-409C-BE32-E72D297353CC}">
              <c16:uniqueId val="{00000001-AC5D-475E-8B04-BDB32C451341}"/>
            </c:ext>
          </c:extLst>
        </c:ser>
        <c:dLbls>
          <c:showLegendKey val="0"/>
          <c:showVal val="0"/>
          <c:showCatName val="0"/>
          <c:showSerName val="0"/>
          <c:showPercent val="0"/>
          <c:showBubbleSize val="0"/>
        </c:dLbls>
        <c:gapWidth val="100"/>
        <c:axId val="1675178080"/>
        <c:axId val="1675178560"/>
      </c:barChart>
      <c:catAx>
        <c:axId val="1675178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5178560"/>
        <c:crosses val="autoZero"/>
        <c:auto val="1"/>
        <c:lblAlgn val="ctr"/>
        <c:lblOffset val="100"/>
        <c:noMultiLvlLbl val="0"/>
      </c:catAx>
      <c:valAx>
        <c:axId val="167517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517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brand.xlsx]Dashboard!PivotTable3</c:name>
    <c:fmtId val="5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Sales</a:t>
            </a:r>
            <a:r>
              <a:rPr lang="en-IN" sz="1800" baseline="0">
                <a:solidFill>
                  <a:schemeClr val="accent2">
                    <a:lumMod val="50000"/>
                  </a:schemeClr>
                </a:solidFill>
              </a:rPr>
              <a:t> by Month</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Dashboard!$H$4:$H$16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Dashboard!$I$4:$I$16</c:f>
              <c:numCache>
                <c:formatCode>General</c:formatCode>
                <c:ptCount val="12"/>
                <c:pt idx="0">
                  <c:v>150611</c:v>
                </c:pt>
                <c:pt idx="1">
                  <c:v>160605</c:v>
                </c:pt>
                <c:pt idx="2">
                  <c:v>193681</c:v>
                </c:pt>
                <c:pt idx="3">
                  <c:v>207619</c:v>
                </c:pt>
                <c:pt idx="4">
                  <c:v>164478</c:v>
                </c:pt>
                <c:pt idx="5">
                  <c:v>178230</c:v>
                </c:pt>
                <c:pt idx="6">
                  <c:v>200525</c:v>
                </c:pt>
                <c:pt idx="7">
                  <c:v>137184</c:v>
                </c:pt>
                <c:pt idx="8">
                  <c:v>91866</c:v>
                </c:pt>
                <c:pt idx="9">
                  <c:v>85871</c:v>
                </c:pt>
                <c:pt idx="10">
                  <c:v>80616</c:v>
                </c:pt>
                <c:pt idx="11">
                  <c:v>109997</c:v>
                </c:pt>
              </c:numCache>
            </c:numRef>
          </c:val>
          <c:smooth val="0"/>
          <c:extLst>
            <c:ext xmlns:c16="http://schemas.microsoft.com/office/drawing/2014/chart" uri="{C3380CC4-5D6E-409C-BE32-E72D297353CC}">
              <c16:uniqueId val="{00000000-F4D5-42D1-B47D-814B6922ACDF}"/>
            </c:ext>
          </c:extLst>
        </c:ser>
        <c:dLbls>
          <c:showLegendKey val="0"/>
          <c:showVal val="0"/>
          <c:showCatName val="0"/>
          <c:showSerName val="0"/>
          <c:showPercent val="0"/>
          <c:showBubbleSize val="0"/>
        </c:dLbls>
        <c:marker val="1"/>
        <c:smooth val="0"/>
        <c:axId val="1630940096"/>
        <c:axId val="1630941056"/>
      </c:lineChart>
      <c:catAx>
        <c:axId val="1630940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0941056"/>
        <c:crosses val="autoZero"/>
        <c:auto val="1"/>
        <c:lblAlgn val="ctr"/>
        <c:lblOffset val="100"/>
        <c:noMultiLvlLbl val="0"/>
      </c:catAx>
      <c:valAx>
        <c:axId val="163094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094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brand.xlsx]Dashboard!PivotTable4</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Daily</a:t>
            </a:r>
            <a:r>
              <a:rPr lang="en-IN" sz="1800" baseline="0">
                <a:solidFill>
                  <a:schemeClr val="accent2">
                    <a:lumMod val="50000"/>
                  </a:schemeClr>
                </a:solidFill>
              </a:rPr>
              <a:t> Sales Ananlysis</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Dashboard!$L$3</c:f>
              <c:strCache>
                <c:ptCount val="1"/>
                <c:pt idx="0">
                  <c:v>Sum of amount</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Dashboard!$K$4:$K$35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Dashboard!$L$4:$L$35</c:f>
              <c:numCache>
                <c:formatCode>General</c:formatCode>
                <c:ptCount val="31"/>
                <c:pt idx="0">
                  <c:v>39521</c:v>
                </c:pt>
                <c:pt idx="1">
                  <c:v>29291</c:v>
                </c:pt>
                <c:pt idx="2">
                  <c:v>61510</c:v>
                </c:pt>
                <c:pt idx="3">
                  <c:v>66249</c:v>
                </c:pt>
                <c:pt idx="4">
                  <c:v>48706</c:v>
                </c:pt>
                <c:pt idx="5">
                  <c:v>46191</c:v>
                </c:pt>
                <c:pt idx="6">
                  <c:v>45709</c:v>
                </c:pt>
                <c:pt idx="7">
                  <c:v>76941</c:v>
                </c:pt>
                <c:pt idx="8">
                  <c:v>36264</c:v>
                </c:pt>
                <c:pt idx="9">
                  <c:v>37866</c:v>
                </c:pt>
                <c:pt idx="10">
                  <c:v>76853</c:v>
                </c:pt>
                <c:pt idx="11">
                  <c:v>56602</c:v>
                </c:pt>
                <c:pt idx="12">
                  <c:v>57547</c:v>
                </c:pt>
                <c:pt idx="13">
                  <c:v>64491</c:v>
                </c:pt>
                <c:pt idx="14">
                  <c:v>82536</c:v>
                </c:pt>
                <c:pt idx="15">
                  <c:v>67806</c:v>
                </c:pt>
                <c:pt idx="16">
                  <c:v>53099</c:v>
                </c:pt>
                <c:pt idx="17">
                  <c:v>61257</c:v>
                </c:pt>
                <c:pt idx="18">
                  <c:v>44784</c:v>
                </c:pt>
                <c:pt idx="19">
                  <c:v>54401</c:v>
                </c:pt>
                <c:pt idx="20">
                  <c:v>58144</c:v>
                </c:pt>
                <c:pt idx="21">
                  <c:v>84875</c:v>
                </c:pt>
                <c:pt idx="22">
                  <c:v>51286</c:v>
                </c:pt>
                <c:pt idx="23">
                  <c:v>65905</c:v>
                </c:pt>
                <c:pt idx="24">
                  <c:v>42647</c:v>
                </c:pt>
                <c:pt idx="25">
                  <c:v>73854</c:v>
                </c:pt>
                <c:pt idx="26">
                  <c:v>57637</c:v>
                </c:pt>
                <c:pt idx="27">
                  <c:v>68311</c:v>
                </c:pt>
                <c:pt idx="28">
                  <c:v>58244</c:v>
                </c:pt>
                <c:pt idx="29">
                  <c:v>40027</c:v>
                </c:pt>
                <c:pt idx="30">
                  <c:v>52729</c:v>
                </c:pt>
              </c:numCache>
            </c:numRef>
          </c:val>
          <c:smooth val="0"/>
          <c:extLst>
            <c:ext xmlns:c16="http://schemas.microsoft.com/office/drawing/2014/chart" uri="{C3380CC4-5D6E-409C-BE32-E72D297353CC}">
              <c16:uniqueId val="{00000000-7F46-439A-8683-D55B648F4EB7}"/>
            </c:ext>
          </c:extLst>
        </c:ser>
        <c:ser>
          <c:idx val="1"/>
          <c:order val="1"/>
          <c:tx>
            <c:strRef>
              <c:f>Dashboard!$M$3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Dashboard!$K$4:$K$35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Dashboard!$M$4:$M$35</c:f>
              <c:numCache>
                <c:formatCode>General</c:formatCode>
                <c:ptCount val="31"/>
                <c:pt idx="0">
                  <c:v>18</c:v>
                </c:pt>
                <c:pt idx="1">
                  <c:v>16</c:v>
                </c:pt>
                <c:pt idx="2">
                  <c:v>22</c:v>
                </c:pt>
                <c:pt idx="3">
                  <c:v>26</c:v>
                </c:pt>
                <c:pt idx="4">
                  <c:v>20</c:v>
                </c:pt>
                <c:pt idx="5">
                  <c:v>22</c:v>
                </c:pt>
                <c:pt idx="6">
                  <c:v>22</c:v>
                </c:pt>
                <c:pt idx="7">
                  <c:v>31</c:v>
                </c:pt>
                <c:pt idx="8">
                  <c:v>13</c:v>
                </c:pt>
                <c:pt idx="9">
                  <c:v>21</c:v>
                </c:pt>
                <c:pt idx="10">
                  <c:v>30</c:v>
                </c:pt>
                <c:pt idx="11">
                  <c:v>20</c:v>
                </c:pt>
                <c:pt idx="12">
                  <c:v>19</c:v>
                </c:pt>
                <c:pt idx="13">
                  <c:v>23</c:v>
                </c:pt>
                <c:pt idx="14">
                  <c:v>27</c:v>
                </c:pt>
                <c:pt idx="15">
                  <c:v>31</c:v>
                </c:pt>
                <c:pt idx="16">
                  <c:v>25</c:v>
                </c:pt>
                <c:pt idx="17">
                  <c:v>21</c:v>
                </c:pt>
                <c:pt idx="18">
                  <c:v>14</c:v>
                </c:pt>
                <c:pt idx="19">
                  <c:v>21</c:v>
                </c:pt>
                <c:pt idx="20">
                  <c:v>17</c:v>
                </c:pt>
                <c:pt idx="21">
                  <c:v>30</c:v>
                </c:pt>
                <c:pt idx="22">
                  <c:v>23</c:v>
                </c:pt>
                <c:pt idx="23">
                  <c:v>23</c:v>
                </c:pt>
                <c:pt idx="24">
                  <c:v>23</c:v>
                </c:pt>
                <c:pt idx="25">
                  <c:v>30</c:v>
                </c:pt>
                <c:pt idx="26">
                  <c:v>23</c:v>
                </c:pt>
                <c:pt idx="27">
                  <c:v>24</c:v>
                </c:pt>
                <c:pt idx="28">
                  <c:v>22</c:v>
                </c:pt>
                <c:pt idx="29">
                  <c:v>20</c:v>
                </c:pt>
                <c:pt idx="30">
                  <c:v>23</c:v>
                </c:pt>
              </c:numCache>
            </c:numRef>
          </c:val>
          <c:smooth val="0"/>
          <c:extLst>
            <c:ext xmlns:c16="http://schemas.microsoft.com/office/drawing/2014/chart" uri="{C3380CC4-5D6E-409C-BE32-E72D297353CC}">
              <c16:uniqueId val="{00000001-7F46-439A-8683-D55B648F4EB7}"/>
            </c:ext>
          </c:extLst>
        </c:ser>
        <c:dLbls>
          <c:showLegendKey val="0"/>
          <c:showVal val="0"/>
          <c:showCatName val="0"/>
          <c:showSerName val="0"/>
          <c:showPercent val="0"/>
          <c:showBubbleSize val="0"/>
        </c:dLbls>
        <c:marker val="1"/>
        <c:smooth val="0"/>
        <c:axId val="413478032"/>
        <c:axId val="413472752"/>
      </c:lineChart>
      <c:catAx>
        <c:axId val="413478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3472752"/>
        <c:crosses val="autoZero"/>
        <c:auto val="1"/>
        <c:lblAlgn val="ctr"/>
        <c:lblOffset val="100"/>
        <c:noMultiLvlLbl val="0"/>
      </c:catAx>
      <c:valAx>
        <c:axId val="41347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3478032"/>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brand.xlsx]Dashboard!PivotTable5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2">
                    <a:lumMod val="50000"/>
                  </a:schemeClr>
                </a:solidFill>
              </a:rPr>
              <a:t>Delivery</a:t>
            </a:r>
            <a:r>
              <a:rPr lang="en-IN" sz="1800" b="1" baseline="0">
                <a:solidFill>
                  <a:schemeClr val="accent2">
                    <a:lumMod val="50000"/>
                  </a:schemeClr>
                </a:solidFill>
              </a:rPr>
              <a:t> status</a:t>
            </a:r>
            <a:endParaRPr lang="en-IN" sz="1800" b="1">
              <a:solidFill>
                <a:schemeClr val="accent2">
                  <a:lumMod val="50000"/>
                </a:schemeClr>
              </a:solidFill>
            </a:endParaRPr>
          </a:p>
        </c:rich>
      </c:tx>
      <c:layout>
        <c:manualLayout>
          <c:xMode val="edge"/>
          <c:yMode val="edge"/>
          <c:x val="2.2861331651143062E-2"/>
          <c:y val="3.7994354968992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Dashboard!$P$3</c:f>
              <c:strCache>
                <c:ptCount val="1"/>
                <c:pt idx="0">
                  <c:v>Sum of amount</c:v>
                </c:pt>
              </c:strCache>
            </c:strRef>
          </c:tx>
          <c:spPr>
            <a:solidFill>
              <a:schemeClr val="accent2">
                <a:lumMod val="50000"/>
              </a:schemeClr>
            </a:solidFill>
            <a:ln>
              <a:noFill/>
            </a:ln>
            <a:effectLst/>
          </c:spPr>
          <c:invertIfNegative val="0"/>
          <c:cat>
            <c:strRef>
              <c:f>Dashboard!$O$4:$O$8</c:f>
              <c:strCache>
                <c:ptCount val="4"/>
                <c:pt idx="0">
                  <c:v>Cancelled</c:v>
                </c:pt>
                <c:pt idx="1">
                  <c:v>Delivered</c:v>
                </c:pt>
                <c:pt idx="2">
                  <c:v>In Transit</c:v>
                </c:pt>
                <c:pt idx="3">
                  <c:v>Returned</c:v>
                </c:pt>
              </c:strCache>
            </c:strRef>
          </c:cat>
          <c:val>
            <c:numRef>
              <c:f>Dashboard!$P$4:$P$8</c:f>
              <c:numCache>
                <c:formatCode>General</c:formatCode>
                <c:ptCount val="4"/>
                <c:pt idx="0">
                  <c:v>465254</c:v>
                </c:pt>
                <c:pt idx="1">
                  <c:v>351761</c:v>
                </c:pt>
                <c:pt idx="2">
                  <c:v>493852</c:v>
                </c:pt>
                <c:pt idx="3">
                  <c:v>450416</c:v>
                </c:pt>
              </c:numCache>
            </c:numRef>
          </c:val>
          <c:extLst>
            <c:ext xmlns:c16="http://schemas.microsoft.com/office/drawing/2014/chart" uri="{C3380CC4-5D6E-409C-BE32-E72D297353CC}">
              <c16:uniqueId val="{00000000-59A5-48C3-AE58-8FB6F71E4FA5}"/>
            </c:ext>
          </c:extLst>
        </c:ser>
        <c:ser>
          <c:idx val="1"/>
          <c:order val="1"/>
          <c:tx>
            <c:strRef>
              <c:f>Dashboard!$Q$3</c:f>
              <c:strCache>
                <c:ptCount val="1"/>
                <c:pt idx="0">
                  <c:v>Count of order_id</c:v>
                </c:pt>
              </c:strCache>
            </c:strRef>
          </c:tx>
          <c:spPr>
            <a:solidFill>
              <a:schemeClr val="accent2"/>
            </a:solidFill>
            <a:ln>
              <a:noFill/>
            </a:ln>
            <a:effectLst/>
          </c:spPr>
          <c:invertIfNegative val="0"/>
          <c:cat>
            <c:strRef>
              <c:f>Dashboard!$O$4:$O$8</c:f>
              <c:strCache>
                <c:ptCount val="4"/>
                <c:pt idx="0">
                  <c:v>Cancelled</c:v>
                </c:pt>
                <c:pt idx="1">
                  <c:v>Delivered</c:v>
                </c:pt>
                <c:pt idx="2">
                  <c:v>In Transit</c:v>
                </c:pt>
                <c:pt idx="3">
                  <c:v>Returned</c:v>
                </c:pt>
              </c:strCache>
            </c:strRef>
          </c:cat>
          <c:val>
            <c:numRef>
              <c:f>Dashboard!$Q$4:$Q$8</c:f>
              <c:numCache>
                <c:formatCode>General</c:formatCode>
                <c:ptCount val="4"/>
                <c:pt idx="0">
                  <c:v>184</c:v>
                </c:pt>
                <c:pt idx="1">
                  <c:v>158</c:v>
                </c:pt>
                <c:pt idx="2">
                  <c:v>192</c:v>
                </c:pt>
                <c:pt idx="3">
                  <c:v>166</c:v>
                </c:pt>
              </c:numCache>
            </c:numRef>
          </c:val>
          <c:extLst>
            <c:ext xmlns:c16="http://schemas.microsoft.com/office/drawing/2014/chart" uri="{C3380CC4-5D6E-409C-BE32-E72D297353CC}">
              <c16:uniqueId val="{00000001-59A5-48C3-AE58-8FB6F71E4FA5}"/>
            </c:ext>
          </c:extLst>
        </c:ser>
        <c:dLbls>
          <c:showLegendKey val="0"/>
          <c:showVal val="0"/>
          <c:showCatName val="0"/>
          <c:showSerName val="0"/>
          <c:showPercent val="0"/>
          <c:showBubbleSize val="0"/>
        </c:dLbls>
        <c:gapWidth val="182"/>
        <c:axId val="1914559216"/>
        <c:axId val="1914557296"/>
      </c:barChart>
      <c:catAx>
        <c:axId val="191455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4557296"/>
        <c:crosses val="autoZero"/>
        <c:auto val="1"/>
        <c:lblAlgn val="ctr"/>
        <c:lblOffset val="100"/>
        <c:noMultiLvlLbl val="0"/>
      </c:catAx>
      <c:valAx>
        <c:axId val="19145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455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1!PivotTable1</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accent2">
                    <a:lumMod val="50000"/>
                  </a:schemeClr>
                </a:solidFill>
              </a:rPr>
              <a:t>Sales</a:t>
            </a:r>
            <a:r>
              <a:rPr lang="en-IN" baseline="0">
                <a:solidFill>
                  <a:schemeClr val="accent2">
                    <a:lumMod val="50000"/>
                  </a:schemeClr>
                </a:solidFill>
              </a:rPr>
              <a:t> by</a:t>
            </a:r>
          </a:p>
          <a:p>
            <a:pPr>
              <a:defRPr/>
            </a:pPr>
            <a:r>
              <a:rPr lang="en-IN" baseline="0">
                <a:solidFill>
                  <a:schemeClr val="accent2">
                    <a:lumMod val="50000"/>
                  </a:schemeClr>
                </a:solidFill>
              </a:rPr>
              <a:t> products</a:t>
            </a:r>
            <a:endParaRPr lang="en-IN">
              <a:solidFill>
                <a:schemeClr val="accent2">
                  <a:lumMod val="50000"/>
                </a:schemeClr>
              </a:solidFill>
            </a:endParaRPr>
          </a:p>
        </c:rich>
      </c:tx>
      <c:layout>
        <c:manualLayout>
          <c:xMode val="edge"/>
          <c:yMode val="edge"/>
          <c:x val="0.29322540548308151"/>
          <c:y val="0.5072120877543138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3000"/>
            </a:schemeClr>
          </a:solidFill>
          <a:ln>
            <a:noFill/>
          </a:ln>
          <a:effectLst>
            <a:outerShdw blurRad="317500" algn="ctr" rotWithShape="0">
              <a:prstClr val="black">
                <a:alpha val="25000"/>
              </a:prstClr>
            </a:outerShdw>
          </a:effectLst>
        </c:spPr>
      </c:pivotFmt>
      <c:pivotFmt>
        <c:idx val="8"/>
        <c:spPr>
          <a:solidFill>
            <a:schemeClr val="accent2">
              <a:shade val="76000"/>
            </a:schemeClr>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tint val="77000"/>
            </a:schemeClr>
          </a:solidFill>
          <a:ln>
            <a:noFill/>
          </a:ln>
          <a:effectLst>
            <a:outerShdw blurRad="317500" algn="ctr" rotWithShape="0">
              <a:prstClr val="black">
                <a:alpha val="25000"/>
              </a:prstClr>
            </a:outerShdw>
          </a:effectLst>
        </c:spPr>
      </c:pivotFmt>
      <c:pivotFmt>
        <c:idx val="11"/>
        <c:spPr>
          <a:solidFill>
            <a:schemeClr val="accent2">
              <a:tint val="54000"/>
            </a:schemeClr>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hade val="53000"/>
            </a:schemeClr>
          </a:solidFill>
          <a:ln>
            <a:noFill/>
          </a:ln>
          <a:effectLst>
            <a:outerShdw blurRad="317500" algn="ctr" rotWithShape="0">
              <a:prstClr val="black">
                <a:alpha val="25000"/>
              </a:prstClr>
            </a:outerShdw>
          </a:effectLst>
        </c:spPr>
      </c:pivotFmt>
      <c:pivotFmt>
        <c:idx val="14"/>
        <c:spPr>
          <a:solidFill>
            <a:schemeClr val="accent2">
              <a:shade val="76000"/>
            </a:schemeClr>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tint val="77000"/>
            </a:schemeClr>
          </a:solidFill>
          <a:ln>
            <a:noFill/>
          </a:ln>
          <a:effectLst>
            <a:outerShdw blurRad="317500" algn="ctr" rotWithShape="0">
              <a:prstClr val="black">
                <a:alpha val="25000"/>
              </a:prstClr>
            </a:outerShdw>
          </a:effectLst>
        </c:spPr>
      </c:pivotFmt>
      <c:pivotFmt>
        <c:idx val="17"/>
        <c:spPr>
          <a:solidFill>
            <a:schemeClr val="accent2">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1'!$B$3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242-4BA0-AE38-2FF3D869B190}"/>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242-4BA0-AE38-2FF3D869B190}"/>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242-4BA0-AE38-2FF3D869B190}"/>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242-4BA0-AE38-2FF3D869B190}"/>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242-4BA0-AE38-2FF3D869B1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1'!$A$4:$A$9</c:f>
              <c:strCache>
                <c:ptCount val="5"/>
                <c:pt idx="0">
                  <c:v>Lakme Blush</c:v>
                </c:pt>
                <c:pt idx="1">
                  <c:v>Lakme Compact</c:v>
                </c:pt>
                <c:pt idx="2">
                  <c:v>Lakme Eyeliner</c:v>
                </c:pt>
                <c:pt idx="3">
                  <c:v>Lakme Foundation</c:v>
                </c:pt>
                <c:pt idx="4">
                  <c:v>Lakme Lipstick</c:v>
                </c:pt>
              </c:strCache>
            </c:strRef>
          </c:cat>
          <c:val>
            <c:numRef>
              <c:f>'Pivot 1'!$B$4:$B$9</c:f>
              <c:numCache>
                <c:formatCode>General</c:formatCode>
                <c:ptCount val="5"/>
                <c:pt idx="0">
                  <c:v>206699</c:v>
                </c:pt>
                <c:pt idx="1">
                  <c:v>155430</c:v>
                </c:pt>
                <c:pt idx="2">
                  <c:v>87469</c:v>
                </c:pt>
                <c:pt idx="3">
                  <c:v>101782</c:v>
                </c:pt>
                <c:pt idx="4">
                  <c:v>100976</c:v>
                </c:pt>
              </c:numCache>
            </c:numRef>
          </c:val>
          <c:extLst>
            <c:ext xmlns:c16="http://schemas.microsoft.com/office/drawing/2014/chart" uri="{C3380CC4-5D6E-409C-BE32-E72D297353CC}">
              <c16:uniqueId val="{0000000A-1242-4BA0-AE38-2FF3D869B19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Sales</a:t>
            </a:r>
            <a:r>
              <a:rPr lang="en-IN" sz="1800" baseline="0">
                <a:solidFill>
                  <a:schemeClr val="accent2">
                    <a:lumMod val="50000"/>
                  </a:schemeClr>
                </a:solidFill>
              </a:rPr>
              <a:t> by Region</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1'!$D$4:$D$12</c:f>
              <c:strCache>
                <c:ptCount val="8"/>
                <c:pt idx="0">
                  <c:v>Ahmedabad</c:v>
                </c:pt>
                <c:pt idx="1">
                  <c:v>Bangalore</c:v>
                </c:pt>
                <c:pt idx="2">
                  <c:v>Chennai</c:v>
                </c:pt>
                <c:pt idx="3">
                  <c:v>Delhi</c:v>
                </c:pt>
                <c:pt idx="4">
                  <c:v>Hyderabad</c:v>
                </c:pt>
                <c:pt idx="5">
                  <c:v>Kolkata</c:v>
                </c:pt>
                <c:pt idx="6">
                  <c:v>Mumbai</c:v>
                </c:pt>
                <c:pt idx="7">
                  <c:v>Pune</c:v>
                </c:pt>
              </c:strCache>
            </c:strRef>
          </c:cat>
          <c:val>
            <c:numRef>
              <c:f>'Pivot 1'!$E$4:$E$12</c:f>
              <c:numCache>
                <c:formatCode>General</c:formatCode>
                <c:ptCount val="8"/>
                <c:pt idx="0">
                  <c:v>104282</c:v>
                </c:pt>
                <c:pt idx="1">
                  <c:v>83697</c:v>
                </c:pt>
                <c:pt idx="2">
                  <c:v>56376</c:v>
                </c:pt>
                <c:pt idx="3">
                  <c:v>88049</c:v>
                </c:pt>
                <c:pt idx="4">
                  <c:v>62380</c:v>
                </c:pt>
                <c:pt idx="5">
                  <c:v>85066</c:v>
                </c:pt>
                <c:pt idx="6">
                  <c:v>101125</c:v>
                </c:pt>
                <c:pt idx="7">
                  <c:v>71381</c:v>
                </c:pt>
              </c:numCache>
            </c:numRef>
          </c:val>
          <c:extLst>
            <c:ext xmlns:c16="http://schemas.microsoft.com/office/drawing/2014/chart" uri="{C3380CC4-5D6E-409C-BE32-E72D297353CC}">
              <c16:uniqueId val="{00000000-11D3-4762-95AD-9EA554C3E3C0}"/>
            </c:ext>
          </c:extLst>
        </c:ser>
        <c:ser>
          <c:idx val="1"/>
          <c:order val="1"/>
          <c:tx>
            <c:strRef>
              <c:f>'Pivot 1'!$F$3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1'!$D$4:$D$12</c:f>
              <c:strCache>
                <c:ptCount val="8"/>
                <c:pt idx="0">
                  <c:v>Ahmedabad</c:v>
                </c:pt>
                <c:pt idx="1">
                  <c:v>Bangalore</c:v>
                </c:pt>
                <c:pt idx="2">
                  <c:v>Chennai</c:v>
                </c:pt>
                <c:pt idx="3">
                  <c:v>Delhi</c:v>
                </c:pt>
                <c:pt idx="4">
                  <c:v>Hyderabad</c:v>
                </c:pt>
                <c:pt idx="5">
                  <c:v>Kolkata</c:v>
                </c:pt>
                <c:pt idx="6">
                  <c:v>Mumbai</c:v>
                </c:pt>
                <c:pt idx="7">
                  <c:v>Pune</c:v>
                </c:pt>
              </c:strCache>
            </c:strRef>
          </c:cat>
          <c:val>
            <c:numRef>
              <c:f>'Pivot 1'!$F$4:$F$12</c:f>
              <c:numCache>
                <c:formatCode>General</c:formatCode>
                <c:ptCount val="8"/>
                <c:pt idx="0">
                  <c:v>41</c:v>
                </c:pt>
                <c:pt idx="1">
                  <c:v>30</c:v>
                </c:pt>
                <c:pt idx="2">
                  <c:v>28</c:v>
                </c:pt>
                <c:pt idx="3">
                  <c:v>29</c:v>
                </c:pt>
                <c:pt idx="4">
                  <c:v>24</c:v>
                </c:pt>
                <c:pt idx="5">
                  <c:v>32</c:v>
                </c:pt>
                <c:pt idx="6">
                  <c:v>34</c:v>
                </c:pt>
                <c:pt idx="7">
                  <c:v>26</c:v>
                </c:pt>
              </c:numCache>
            </c:numRef>
          </c:val>
          <c:extLst>
            <c:ext xmlns:c16="http://schemas.microsoft.com/office/drawing/2014/chart" uri="{C3380CC4-5D6E-409C-BE32-E72D297353CC}">
              <c16:uniqueId val="{00000001-11D3-4762-95AD-9EA554C3E3C0}"/>
            </c:ext>
          </c:extLst>
        </c:ser>
        <c:dLbls>
          <c:showLegendKey val="0"/>
          <c:showVal val="0"/>
          <c:showCatName val="0"/>
          <c:showSerName val="0"/>
          <c:showPercent val="0"/>
          <c:showBubbleSize val="0"/>
        </c:dLbls>
        <c:gapWidth val="100"/>
        <c:overlap val="-24"/>
        <c:axId val="1200111103"/>
        <c:axId val="1200100063"/>
      </c:barChart>
      <c:catAx>
        <c:axId val="1200111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100063"/>
        <c:crosses val="autoZero"/>
        <c:auto val="1"/>
        <c:lblAlgn val="ctr"/>
        <c:lblOffset val="100"/>
        <c:noMultiLvlLbl val="0"/>
      </c:catAx>
      <c:valAx>
        <c:axId val="120010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50000"/>
                  </a:schemeClr>
                </a:solidFill>
              </a:rPr>
              <a:t>Sales</a:t>
            </a:r>
            <a:r>
              <a:rPr lang="en-IN" sz="1600" b="1" baseline="0">
                <a:solidFill>
                  <a:schemeClr val="accent2">
                    <a:lumMod val="50000"/>
                  </a:schemeClr>
                </a:solidFill>
              </a:rPr>
              <a:t> by Months</a:t>
            </a:r>
            <a:endParaRPr lang="en-IN"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1'!$I$3</c:f>
              <c:strCache>
                <c:ptCount val="1"/>
                <c:pt idx="0">
                  <c:v>Total</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1'!$I$4:$I$16</c:f>
              <c:numCache>
                <c:formatCode>General</c:formatCode>
                <c:ptCount val="12"/>
                <c:pt idx="0">
                  <c:v>55517</c:v>
                </c:pt>
                <c:pt idx="1">
                  <c:v>73214</c:v>
                </c:pt>
                <c:pt idx="2">
                  <c:v>56844</c:v>
                </c:pt>
                <c:pt idx="3">
                  <c:v>83185</c:v>
                </c:pt>
                <c:pt idx="4">
                  <c:v>81256</c:v>
                </c:pt>
                <c:pt idx="5">
                  <c:v>42211</c:v>
                </c:pt>
                <c:pt idx="6">
                  <c:v>48647</c:v>
                </c:pt>
                <c:pt idx="7">
                  <c:v>64444</c:v>
                </c:pt>
                <c:pt idx="8">
                  <c:v>32394</c:v>
                </c:pt>
                <c:pt idx="9">
                  <c:v>31814</c:v>
                </c:pt>
                <c:pt idx="10">
                  <c:v>34575</c:v>
                </c:pt>
                <c:pt idx="11">
                  <c:v>48255</c:v>
                </c:pt>
              </c:numCache>
            </c:numRef>
          </c:val>
          <c:smooth val="0"/>
          <c:extLst>
            <c:ext xmlns:c16="http://schemas.microsoft.com/office/drawing/2014/chart" uri="{C3380CC4-5D6E-409C-BE32-E72D297353CC}">
              <c16:uniqueId val="{00000000-E942-4C56-9B24-467668039203}"/>
            </c:ext>
          </c:extLst>
        </c:ser>
        <c:dLbls>
          <c:showLegendKey val="0"/>
          <c:showVal val="0"/>
          <c:showCatName val="0"/>
          <c:showSerName val="0"/>
          <c:showPercent val="0"/>
          <c:showBubbleSize val="0"/>
        </c:dLbls>
        <c:marker val="1"/>
        <c:smooth val="0"/>
        <c:axId val="1200115903"/>
        <c:axId val="1200123103"/>
      </c:lineChart>
      <c:catAx>
        <c:axId val="1200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123103"/>
        <c:crosses val="autoZero"/>
        <c:auto val="1"/>
        <c:lblAlgn val="ctr"/>
        <c:lblOffset val="100"/>
        <c:noMultiLvlLbl val="0"/>
      </c:catAx>
      <c:valAx>
        <c:axId val="12001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1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50000"/>
                  </a:schemeClr>
                </a:solidFill>
              </a:rPr>
              <a:t>Daily</a:t>
            </a:r>
            <a:r>
              <a:rPr lang="en-IN" sz="1600" b="1" baseline="0">
                <a:solidFill>
                  <a:schemeClr val="accent2">
                    <a:lumMod val="50000"/>
                  </a:schemeClr>
                </a:solidFill>
              </a:rPr>
              <a:t> Sales Analysis</a:t>
            </a:r>
            <a:endParaRPr lang="en-IN"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1'!$L$3</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1'!$K$4:$K$35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1'!$L$4:$L$35</c:f>
              <c:numCache>
                <c:formatCode>General</c:formatCode>
                <c:ptCount val="31"/>
                <c:pt idx="0">
                  <c:v>17925</c:v>
                </c:pt>
                <c:pt idx="1">
                  <c:v>11663</c:v>
                </c:pt>
                <c:pt idx="2">
                  <c:v>19748</c:v>
                </c:pt>
                <c:pt idx="3">
                  <c:v>19723</c:v>
                </c:pt>
                <c:pt idx="4">
                  <c:v>15689</c:v>
                </c:pt>
                <c:pt idx="5">
                  <c:v>24108</c:v>
                </c:pt>
                <c:pt idx="6">
                  <c:v>6856</c:v>
                </c:pt>
                <c:pt idx="7">
                  <c:v>31324</c:v>
                </c:pt>
                <c:pt idx="8">
                  <c:v>16844</c:v>
                </c:pt>
                <c:pt idx="9">
                  <c:v>22580</c:v>
                </c:pt>
                <c:pt idx="10">
                  <c:v>26769</c:v>
                </c:pt>
                <c:pt idx="11">
                  <c:v>23745</c:v>
                </c:pt>
                <c:pt idx="12">
                  <c:v>25399</c:v>
                </c:pt>
                <c:pt idx="13">
                  <c:v>23626</c:v>
                </c:pt>
                <c:pt idx="14">
                  <c:v>22025</c:v>
                </c:pt>
                <c:pt idx="15">
                  <c:v>16957</c:v>
                </c:pt>
                <c:pt idx="16">
                  <c:v>22941</c:v>
                </c:pt>
                <c:pt idx="17">
                  <c:v>14516</c:v>
                </c:pt>
                <c:pt idx="18">
                  <c:v>19708</c:v>
                </c:pt>
                <c:pt idx="19">
                  <c:v>8637</c:v>
                </c:pt>
                <c:pt idx="20">
                  <c:v>24895</c:v>
                </c:pt>
                <c:pt idx="21">
                  <c:v>41394</c:v>
                </c:pt>
                <c:pt idx="22">
                  <c:v>19674</c:v>
                </c:pt>
                <c:pt idx="23">
                  <c:v>25738</c:v>
                </c:pt>
                <c:pt idx="24">
                  <c:v>9451</c:v>
                </c:pt>
                <c:pt idx="25">
                  <c:v>29365</c:v>
                </c:pt>
                <c:pt idx="26">
                  <c:v>35250</c:v>
                </c:pt>
                <c:pt idx="27">
                  <c:v>16579</c:v>
                </c:pt>
                <c:pt idx="28">
                  <c:v>24904</c:v>
                </c:pt>
                <c:pt idx="29">
                  <c:v>15313</c:v>
                </c:pt>
                <c:pt idx="30">
                  <c:v>19010</c:v>
                </c:pt>
              </c:numCache>
            </c:numRef>
          </c:val>
          <c:smooth val="0"/>
          <c:extLst>
            <c:ext xmlns:c16="http://schemas.microsoft.com/office/drawing/2014/chart" uri="{C3380CC4-5D6E-409C-BE32-E72D297353CC}">
              <c16:uniqueId val="{00000000-814A-4AB2-B17F-A9A7BA7E4377}"/>
            </c:ext>
          </c:extLst>
        </c:ser>
        <c:ser>
          <c:idx val="1"/>
          <c:order val="1"/>
          <c:tx>
            <c:strRef>
              <c:f>'Pivot 1'!$M$3</c:f>
              <c:strCache>
                <c:ptCount val="1"/>
                <c:pt idx="0">
                  <c:v>Count of order_id</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1'!$K$4:$K$35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1'!$M$4:$M$35</c:f>
              <c:numCache>
                <c:formatCode>General</c:formatCode>
                <c:ptCount val="31"/>
                <c:pt idx="0">
                  <c:v>6</c:v>
                </c:pt>
                <c:pt idx="1">
                  <c:v>5</c:v>
                </c:pt>
                <c:pt idx="2">
                  <c:v>6</c:v>
                </c:pt>
                <c:pt idx="3">
                  <c:v>8</c:v>
                </c:pt>
                <c:pt idx="4">
                  <c:v>9</c:v>
                </c:pt>
                <c:pt idx="5">
                  <c:v>9</c:v>
                </c:pt>
                <c:pt idx="6">
                  <c:v>4</c:v>
                </c:pt>
                <c:pt idx="7">
                  <c:v>11</c:v>
                </c:pt>
                <c:pt idx="8">
                  <c:v>7</c:v>
                </c:pt>
                <c:pt idx="9">
                  <c:v>10</c:v>
                </c:pt>
                <c:pt idx="10">
                  <c:v>10</c:v>
                </c:pt>
                <c:pt idx="11">
                  <c:v>7</c:v>
                </c:pt>
                <c:pt idx="12">
                  <c:v>7</c:v>
                </c:pt>
                <c:pt idx="13">
                  <c:v>8</c:v>
                </c:pt>
                <c:pt idx="14">
                  <c:v>9</c:v>
                </c:pt>
                <c:pt idx="15">
                  <c:v>7</c:v>
                </c:pt>
                <c:pt idx="16">
                  <c:v>11</c:v>
                </c:pt>
                <c:pt idx="17">
                  <c:v>5</c:v>
                </c:pt>
                <c:pt idx="18">
                  <c:v>7</c:v>
                </c:pt>
                <c:pt idx="19">
                  <c:v>4</c:v>
                </c:pt>
                <c:pt idx="20">
                  <c:v>8</c:v>
                </c:pt>
                <c:pt idx="21">
                  <c:v>14</c:v>
                </c:pt>
                <c:pt idx="22">
                  <c:v>8</c:v>
                </c:pt>
                <c:pt idx="23">
                  <c:v>9</c:v>
                </c:pt>
                <c:pt idx="24">
                  <c:v>5</c:v>
                </c:pt>
                <c:pt idx="25">
                  <c:v>8</c:v>
                </c:pt>
                <c:pt idx="26">
                  <c:v>13</c:v>
                </c:pt>
                <c:pt idx="27">
                  <c:v>7</c:v>
                </c:pt>
                <c:pt idx="28">
                  <c:v>10</c:v>
                </c:pt>
                <c:pt idx="29">
                  <c:v>7</c:v>
                </c:pt>
                <c:pt idx="30">
                  <c:v>5</c:v>
                </c:pt>
              </c:numCache>
            </c:numRef>
          </c:val>
          <c:smooth val="0"/>
          <c:extLst>
            <c:ext xmlns:c16="http://schemas.microsoft.com/office/drawing/2014/chart" uri="{C3380CC4-5D6E-409C-BE32-E72D297353CC}">
              <c16:uniqueId val="{00000001-814A-4AB2-B17F-A9A7BA7E4377}"/>
            </c:ext>
          </c:extLst>
        </c:ser>
        <c:dLbls>
          <c:showLegendKey val="0"/>
          <c:showVal val="0"/>
          <c:showCatName val="0"/>
          <c:showSerName val="0"/>
          <c:showPercent val="0"/>
          <c:showBubbleSize val="0"/>
        </c:dLbls>
        <c:marker val="1"/>
        <c:smooth val="0"/>
        <c:axId val="1529606943"/>
        <c:axId val="1529607903"/>
      </c:lineChart>
      <c:catAx>
        <c:axId val="15296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607903"/>
        <c:crosses val="autoZero"/>
        <c:auto val="1"/>
        <c:lblAlgn val="ctr"/>
        <c:lblOffset val="100"/>
        <c:noMultiLvlLbl val="0"/>
      </c:catAx>
      <c:valAx>
        <c:axId val="152960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6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Delivery</a:t>
            </a:r>
            <a:r>
              <a:rPr lang="en-IN" sz="1800" baseline="0">
                <a:solidFill>
                  <a:schemeClr val="accent2">
                    <a:lumMod val="50000"/>
                  </a:schemeClr>
                </a:solidFill>
              </a:rPr>
              <a:t> Status</a:t>
            </a:r>
            <a:endParaRPr lang="en-IN" sz="1800">
              <a:solidFill>
                <a:schemeClr val="accent2">
                  <a:lumMod val="50000"/>
                </a:schemeClr>
              </a:solidFill>
            </a:endParaRPr>
          </a:p>
        </c:rich>
      </c:tx>
      <c:layout>
        <c:manualLayout>
          <c:xMode val="edge"/>
          <c:yMode val="edge"/>
          <c:x val="1.7930910136898993E-2"/>
          <c:y val="3.21020227560370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1'!$O$4:$O$8</c:f>
              <c:strCache>
                <c:ptCount val="4"/>
                <c:pt idx="0">
                  <c:v>Cancelled</c:v>
                </c:pt>
                <c:pt idx="1">
                  <c:v>Delivered</c:v>
                </c:pt>
                <c:pt idx="2">
                  <c:v>In Transit</c:v>
                </c:pt>
                <c:pt idx="3">
                  <c:v>Returned</c:v>
                </c:pt>
              </c:strCache>
            </c:strRef>
          </c:cat>
          <c:val>
            <c:numRef>
              <c:f>'Pivot 1'!$P$4:$P$8</c:f>
              <c:numCache>
                <c:formatCode>General</c:formatCode>
                <c:ptCount val="4"/>
                <c:pt idx="0">
                  <c:v>182703</c:v>
                </c:pt>
                <c:pt idx="1">
                  <c:v>128341</c:v>
                </c:pt>
                <c:pt idx="2">
                  <c:v>169031</c:v>
                </c:pt>
                <c:pt idx="3">
                  <c:v>172281</c:v>
                </c:pt>
              </c:numCache>
            </c:numRef>
          </c:val>
          <c:extLst>
            <c:ext xmlns:c16="http://schemas.microsoft.com/office/drawing/2014/chart" uri="{C3380CC4-5D6E-409C-BE32-E72D297353CC}">
              <c16:uniqueId val="{00000000-4695-4A51-8E0B-8E3037EA7976}"/>
            </c:ext>
          </c:extLst>
        </c:ser>
        <c:ser>
          <c:idx val="1"/>
          <c:order val="1"/>
          <c:tx>
            <c:strRef>
              <c:f>'Pivot 1'!$Q$3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1'!$O$4:$O$8</c:f>
              <c:strCache>
                <c:ptCount val="4"/>
                <c:pt idx="0">
                  <c:v>Cancelled</c:v>
                </c:pt>
                <c:pt idx="1">
                  <c:v>Delivered</c:v>
                </c:pt>
                <c:pt idx="2">
                  <c:v>In Transit</c:v>
                </c:pt>
                <c:pt idx="3">
                  <c:v>Returned</c:v>
                </c:pt>
              </c:strCache>
            </c:strRef>
          </c:cat>
          <c:val>
            <c:numRef>
              <c:f>'Pivot 1'!$Q$4:$Q$8</c:f>
              <c:numCache>
                <c:formatCode>General</c:formatCode>
                <c:ptCount val="4"/>
                <c:pt idx="0">
                  <c:v>69</c:v>
                </c:pt>
                <c:pt idx="1">
                  <c:v>55</c:v>
                </c:pt>
                <c:pt idx="2">
                  <c:v>60</c:v>
                </c:pt>
                <c:pt idx="3">
                  <c:v>60</c:v>
                </c:pt>
              </c:numCache>
            </c:numRef>
          </c:val>
          <c:extLst>
            <c:ext xmlns:c16="http://schemas.microsoft.com/office/drawing/2014/chart" uri="{C3380CC4-5D6E-409C-BE32-E72D297353CC}">
              <c16:uniqueId val="{00000001-4695-4A51-8E0B-8E3037EA7976}"/>
            </c:ext>
          </c:extLst>
        </c:ser>
        <c:dLbls>
          <c:showLegendKey val="0"/>
          <c:showVal val="0"/>
          <c:showCatName val="0"/>
          <c:showSerName val="0"/>
          <c:showPercent val="0"/>
          <c:showBubbleSize val="0"/>
        </c:dLbls>
        <c:gapWidth val="115"/>
        <c:overlap val="-20"/>
        <c:axId val="1529630463"/>
        <c:axId val="1529618463"/>
      </c:barChart>
      <c:catAx>
        <c:axId val="15296304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618463"/>
        <c:crosses val="autoZero"/>
        <c:auto val="1"/>
        <c:lblAlgn val="ctr"/>
        <c:lblOffset val="100"/>
        <c:noMultiLvlLbl val="0"/>
      </c:catAx>
      <c:valAx>
        <c:axId val="152961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3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3!PivotTable1</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accent2">
                    <a:lumMod val="50000"/>
                  </a:schemeClr>
                </a:solidFill>
              </a:rPr>
              <a:t>Sales</a:t>
            </a:r>
            <a:r>
              <a:rPr lang="en-IN" baseline="0">
                <a:solidFill>
                  <a:schemeClr val="accent2">
                    <a:lumMod val="50000"/>
                  </a:schemeClr>
                </a:solidFill>
              </a:rPr>
              <a:t> by</a:t>
            </a:r>
          </a:p>
          <a:p>
            <a:pPr>
              <a:defRPr/>
            </a:pPr>
            <a:r>
              <a:rPr lang="en-IN" baseline="0">
                <a:solidFill>
                  <a:schemeClr val="accent2">
                    <a:lumMod val="50000"/>
                  </a:schemeClr>
                </a:solidFill>
              </a:rPr>
              <a:t>Products</a:t>
            </a:r>
            <a:endParaRPr lang="en-IN">
              <a:solidFill>
                <a:schemeClr val="accent2">
                  <a:lumMod val="50000"/>
                </a:schemeClr>
              </a:solidFill>
            </a:endParaRPr>
          </a:p>
        </c:rich>
      </c:tx>
      <c:layout>
        <c:manualLayout>
          <c:xMode val="edge"/>
          <c:yMode val="edge"/>
          <c:x val="0.29158778007446462"/>
          <c:y val="0.497727205429392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3000"/>
            </a:schemeClr>
          </a:solidFill>
          <a:ln>
            <a:noFill/>
          </a:ln>
          <a:effectLst>
            <a:outerShdw blurRad="317500" algn="ctr" rotWithShape="0">
              <a:prstClr val="black">
                <a:alpha val="25000"/>
              </a:prstClr>
            </a:outerShdw>
          </a:effectLst>
        </c:spPr>
      </c:pivotFmt>
      <c:pivotFmt>
        <c:idx val="3"/>
        <c:spPr>
          <a:solidFill>
            <a:schemeClr val="accent2">
              <a:shade val="76000"/>
            </a:schemeClr>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tint val="77000"/>
            </a:schemeClr>
          </a:solidFill>
          <a:ln>
            <a:noFill/>
          </a:ln>
          <a:effectLst>
            <a:outerShdw blurRad="317500" algn="ctr" rotWithShape="0">
              <a:prstClr val="black">
                <a:alpha val="25000"/>
              </a:prstClr>
            </a:outerShdw>
          </a:effectLst>
        </c:spPr>
      </c:pivotFmt>
      <c:pivotFmt>
        <c:idx val="6"/>
        <c:spPr>
          <a:solidFill>
            <a:schemeClr val="accent2">
              <a:tint val="54000"/>
            </a:schemeClr>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a:noFill/>
          </a:ln>
          <a:effectLst>
            <a:outerShdw blurRad="317500" algn="ctr" rotWithShape="0">
              <a:prstClr val="black">
                <a:alpha val="25000"/>
              </a:prstClr>
            </a:outerShdw>
          </a:effectLst>
        </c:spPr>
      </c:pivotFmt>
      <c:pivotFmt>
        <c:idx val="9"/>
        <c:spPr>
          <a:solidFill>
            <a:schemeClr val="accent2">
              <a:shade val="76000"/>
            </a:schemeClr>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tint val="77000"/>
            </a:schemeClr>
          </a:solidFill>
          <a:ln>
            <a:noFill/>
          </a:ln>
          <a:effectLst>
            <a:outerShdw blurRad="317500" algn="ctr" rotWithShape="0">
              <a:prstClr val="black">
                <a:alpha val="25000"/>
              </a:prstClr>
            </a:outerShdw>
          </a:effectLst>
        </c:spPr>
      </c:pivotFmt>
      <c:pivotFmt>
        <c:idx val="12"/>
        <c:spPr>
          <a:solidFill>
            <a:schemeClr val="accent2">
              <a:tint val="54000"/>
            </a:schemeClr>
          </a:solidFill>
          <a:ln>
            <a:noFill/>
          </a:ln>
          <a:effectLst>
            <a:outerShdw blurRad="317500" algn="ctr" rotWithShape="0">
              <a:prstClr val="black">
                <a:alpha val="25000"/>
              </a:prstClr>
            </a:outerShdw>
          </a:effectLst>
        </c:spPr>
      </c:pivotFmt>
      <c:pivotFmt>
        <c:idx val="13"/>
        <c:spPr>
          <a:solidFill>
            <a:schemeClr val="accent2">
              <a:shade val="53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3'!$B$3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C72-409D-A408-845C77F02C2C}"/>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C72-409D-A408-845C77F02C2C}"/>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C72-409D-A408-845C77F02C2C}"/>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C72-409D-A408-845C77F02C2C}"/>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C72-409D-A408-845C77F02C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3'!$A$4:$A$9</c:f>
              <c:strCache>
                <c:ptCount val="5"/>
                <c:pt idx="0">
                  <c:v>Sugar Blush</c:v>
                </c:pt>
                <c:pt idx="1">
                  <c:v>Sugar Compact</c:v>
                </c:pt>
                <c:pt idx="2">
                  <c:v>Sugar Eyeliner</c:v>
                </c:pt>
                <c:pt idx="3">
                  <c:v>Sugar Foundation</c:v>
                </c:pt>
                <c:pt idx="4">
                  <c:v>Sugar Lipstick</c:v>
                </c:pt>
              </c:strCache>
            </c:strRef>
          </c:cat>
          <c:val>
            <c:numRef>
              <c:f>'Pivot 3'!$B$4:$B$9</c:f>
              <c:numCache>
                <c:formatCode>General</c:formatCode>
                <c:ptCount val="5"/>
                <c:pt idx="0">
                  <c:v>97734</c:v>
                </c:pt>
                <c:pt idx="1">
                  <c:v>90973</c:v>
                </c:pt>
                <c:pt idx="2">
                  <c:v>116409</c:v>
                </c:pt>
                <c:pt idx="3">
                  <c:v>108091</c:v>
                </c:pt>
                <c:pt idx="4">
                  <c:v>121596</c:v>
                </c:pt>
              </c:numCache>
            </c:numRef>
          </c:val>
          <c:extLst>
            <c:ext xmlns:c16="http://schemas.microsoft.com/office/drawing/2014/chart" uri="{C3380CC4-5D6E-409C-BE32-E72D297353CC}">
              <c16:uniqueId val="{0000000A-9C72-409D-A408-845C77F02C2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Sales</a:t>
            </a:r>
            <a:r>
              <a:rPr lang="en-IN" sz="1800" baseline="0">
                <a:solidFill>
                  <a:schemeClr val="accent2">
                    <a:lumMod val="50000"/>
                  </a:schemeClr>
                </a:solidFill>
              </a:rPr>
              <a:t> by Region</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3'!$D$4:$D$12</c:f>
              <c:strCache>
                <c:ptCount val="8"/>
                <c:pt idx="0">
                  <c:v>Ahmedabad</c:v>
                </c:pt>
                <c:pt idx="1">
                  <c:v>Bangalore</c:v>
                </c:pt>
                <c:pt idx="2">
                  <c:v>Chennai</c:v>
                </c:pt>
                <c:pt idx="3">
                  <c:v>Delhi</c:v>
                </c:pt>
                <c:pt idx="4">
                  <c:v>Hyderabad</c:v>
                </c:pt>
                <c:pt idx="5">
                  <c:v>Kolkata</c:v>
                </c:pt>
                <c:pt idx="6">
                  <c:v>Mumbai</c:v>
                </c:pt>
                <c:pt idx="7">
                  <c:v>Pune</c:v>
                </c:pt>
              </c:strCache>
            </c:strRef>
          </c:cat>
          <c:val>
            <c:numRef>
              <c:f>'Pivot 3'!$E$4:$E$12</c:f>
              <c:numCache>
                <c:formatCode>General</c:formatCode>
                <c:ptCount val="8"/>
                <c:pt idx="0">
                  <c:v>61863</c:v>
                </c:pt>
                <c:pt idx="1">
                  <c:v>50929</c:v>
                </c:pt>
                <c:pt idx="2">
                  <c:v>66952</c:v>
                </c:pt>
                <c:pt idx="3">
                  <c:v>101439</c:v>
                </c:pt>
                <c:pt idx="4">
                  <c:v>66044</c:v>
                </c:pt>
                <c:pt idx="5">
                  <c:v>66168</c:v>
                </c:pt>
                <c:pt idx="6">
                  <c:v>57948</c:v>
                </c:pt>
                <c:pt idx="7">
                  <c:v>63460</c:v>
                </c:pt>
              </c:numCache>
            </c:numRef>
          </c:val>
          <c:extLst>
            <c:ext xmlns:c16="http://schemas.microsoft.com/office/drawing/2014/chart" uri="{C3380CC4-5D6E-409C-BE32-E72D297353CC}">
              <c16:uniqueId val="{00000000-76D4-49EB-8B07-8B93C16E3D6C}"/>
            </c:ext>
          </c:extLst>
        </c:ser>
        <c:ser>
          <c:idx val="1"/>
          <c:order val="1"/>
          <c:tx>
            <c:strRef>
              <c:f>'Pivot 3'!$F$3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3'!$D$4:$D$12</c:f>
              <c:strCache>
                <c:ptCount val="8"/>
                <c:pt idx="0">
                  <c:v>Ahmedabad</c:v>
                </c:pt>
                <c:pt idx="1">
                  <c:v>Bangalore</c:v>
                </c:pt>
                <c:pt idx="2">
                  <c:v>Chennai</c:v>
                </c:pt>
                <c:pt idx="3">
                  <c:v>Delhi</c:v>
                </c:pt>
                <c:pt idx="4">
                  <c:v>Hyderabad</c:v>
                </c:pt>
                <c:pt idx="5">
                  <c:v>Kolkata</c:v>
                </c:pt>
                <c:pt idx="6">
                  <c:v>Mumbai</c:v>
                </c:pt>
                <c:pt idx="7">
                  <c:v>Pune</c:v>
                </c:pt>
              </c:strCache>
            </c:strRef>
          </c:cat>
          <c:val>
            <c:numRef>
              <c:f>'Pivot 3'!$F$4:$F$12</c:f>
              <c:numCache>
                <c:formatCode>General</c:formatCode>
                <c:ptCount val="8"/>
                <c:pt idx="0">
                  <c:v>23</c:v>
                </c:pt>
                <c:pt idx="1">
                  <c:v>24</c:v>
                </c:pt>
                <c:pt idx="2">
                  <c:v>26</c:v>
                </c:pt>
                <c:pt idx="3">
                  <c:v>40</c:v>
                </c:pt>
                <c:pt idx="4">
                  <c:v>29</c:v>
                </c:pt>
                <c:pt idx="5">
                  <c:v>27</c:v>
                </c:pt>
                <c:pt idx="6">
                  <c:v>29</c:v>
                </c:pt>
                <c:pt idx="7">
                  <c:v>30</c:v>
                </c:pt>
              </c:numCache>
            </c:numRef>
          </c:val>
          <c:extLst>
            <c:ext xmlns:c16="http://schemas.microsoft.com/office/drawing/2014/chart" uri="{C3380CC4-5D6E-409C-BE32-E72D297353CC}">
              <c16:uniqueId val="{00000001-76D4-49EB-8B07-8B93C16E3D6C}"/>
            </c:ext>
          </c:extLst>
        </c:ser>
        <c:dLbls>
          <c:showLegendKey val="0"/>
          <c:showVal val="0"/>
          <c:showCatName val="0"/>
          <c:showSerName val="0"/>
          <c:showPercent val="0"/>
          <c:showBubbleSize val="0"/>
        </c:dLbls>
        <c:gapWidth val="100"/>
        <c:overlap val="-24"/>
        <c:axId val="850722624"/>
        <c:axId val="850711584"/>
      </c:barChart>
      <c:catAx>
        <c:axId val="850722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0711584"/>
        <c:crosses val="autoZero"/>
        <c:auto val="1"/>
        <c:lblAlgn val="ctr"/>
        <c:lblOffset val="100"/>
        <c:noMultiLvlLbl val="0"/>
      </c:catAx>
      <c:valAx>
        <c:axId val="85071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07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Sales</a:t>
            </a:r>
            <a:r>
              <a:rPr lang="en-IN" sz="1800" baseline="0">
                <a:solidFill>
                  <a:schemeClr val="accent2">
                    <a:lumMod val="50000"/>
                  </a:schemeClr>
                </a:solidFill>
              </a:rPr>
              <a:t> by Months</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3'!$I$3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3'!$H$4:$H$16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3'!$I$4:$I$16</c:f>
              <c:numCache>
                <c:formatCode>General</c:formatCode>
                <c:ptCount val="12"/>
                <c:pt idx="0">
                  <c:v>40598</c:v>
                </c:pt>
                <c:pt idx="1">
                  <c:v>43403</c:v>
                </c:pt>
                <c:pt idx="2">
                  <c:v>61714</c:v>
                </c:pt>
                <c:pt idx="3">
                  <c:v>67794</c:v>
                </c:pt>
                <c:pt idx="4">
                  <c:v>53570</c:v>
                </c:pt>
                <c:pt idx="5">
                  <c:v>56457</c:v>
                </c:pt>
                <c:pt idx="6">
                  <c:v>86103</c:v>
                </c:pt>
                <c:pt idx="7">
                  <c:v>27875</c:v>
                </c:pt>
                <c:pt idx="8">
                  <c:v>31967</c:v>
                </c:pt>
                <c:pt idx="9">
                  <c:v>27984</c:v>
                </c:pt>
                <c:pt idx="10">
                  <c:v>17147</c:v>
                </c:pt>
                <c:pt idx="11">
                  <c:v>20191</c:v>
                </c:pt>
              </c:numCache>
            </c:numRef>
          </c:val>
          <c:smooth val="0"/>
          <c:extLst>
            <c:ext xmlns:c16="http://schemas.microsoft.com/office/drawing/2014/chart" uri="{C3380CC4-5D6E-409C-BE32-E72D297353CC}">
              <c16:uniqueId val="{00000000-7B68-4269-8907-EB46E5882FB2}"/>
            </c:ext>
          </c:extLst>
        </c:ser>
        <c:dLbls>
          <c:showLegendKey val="0"/>
          <c:showVal val="0"/>
          <c:showCatName val="0"/>
          <c:showSerName val="0"/>
          <c:showPercent val="0"/>
          <c:showBubbleSize val="0"/>
        </c:dLbls>
        <c:marker val="1"/>
        <c:smooth val="0"/>
        <c:axId val="840735648"/>
        <c:axId val="840733728"/>
      </c:lineChart>
      <c:catAx>
        <c:axId val="8407356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733728"/>
        <c:crosses val="autoZero"/>
        <c:auto val="1"/>
        <c:lblAlgn val="ctr"/>
        <c:lblOffset val="100"/>
        <c:noMultiLvlLbl val="0"/>
      </c:catAx>
      <c:valAx>
        <c:axId val="84073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735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Daily</a:t>
            </a:r>
            <a:r>
              <a:rPr lang="en-IN" sz="1800" baseline="0">
                <a:solidFill>
                  <a:schemeClr val="accent2">
                    <a:lumMod val="50000"/>
                  </a:schemeClr>
                </a:solidFill>
              </a:rPr>
              <a:t> Sales Analysis</a:t>
            </a:r>
            <a:endParaRPr lang="en-IN" sz="18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3'!$L$3</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3'!$K$4:$K$35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3'!$L$4:$L$35</c:f>
              <c:numCache>
                <c:formatCode>General</c:formatCode>
                <c:ptCount val="31"/>
                <c:pt idx="0">
                  <c:v>17342</c:v>
                </c:pt>
                <c:pt idx="1">
                  <c:v>13713</c:v>
                </c:pt>
                <c:pt idx="2">
                  <c:v>22547</c:v>
                </c:pt>
                <c:pt idx="3">
                  <c:v>17083</c:v>
                </c:pt>
                <c:pt idx="4">
                  <c:v>19998</c:v>
                </c:pt>
                <c:pt idx="5">
                  <c:v>9574</c:v>
                </c:pt>
                <c:pt idx="6">
                  <c:v>9648</c:v>
                </c:pt>
                <c:pt idx="7">
                  <c:v>30120</c:v>
                </c:pt>
                <c:pt idx="8">
                  <c:v>3351</c:v>
                </c:pt>
                <c:pt idx="9">
                  <c:v>11003</c:v>
                </c:pt>
                <c:pt idx="10">
                  <c:v>36894</c:v>
                </c:pt>
                <c:pt idx="11">
                  <c:v>14116</c:v>
                </c:pt>
                <c:pt idx="12">
                  <c:v>7772</c:v>
                </c:pt>
                <c:pt idx="13">
                  <c:v>13385</c:v>
                </c:pt>
                <c:pt idx="14">
                  <c:v>18817</c:v>
                </c:pt>
                <c:pt idx="15">
                  <c:v>24704</c:v>
                </c:pt>
                <c:pt idx="16">
                  <c:v>12948</c:v>
                </c:pt>
                <c:pt idx="17">
                  <c:v>28027</c:v>
                </c:pt>
                <c:pt idx="18">
                  <c:v>18183</c:v>
                </c:pt>
                <c:pt idx="19">
                  <c:v>25959</c:v>
                </c:pt>
                <c:pt idx="20">
                  <c:v>19334</c:v>
                </c:pt>
                <c:pt idx="21">
                  <c:v>23636</c:v>
                </c:pt>
                <c:pt idx="22">
                  <c:v>10412</c:v>
                </c:pt>
                <c:pt idx="23">
                  <c:v>27452</c:v>
                </c:pt>
                <c:pt idx="24">
                  <c:v>10726</c:v>
                </c:pt>
                <c:pt idx="25">
                  <c:v>22072</c:v>
                </c:pt>
                <c:pt idx="26">
                  <c:v>13038</c:v>
                </c:pt>
                <c:pt idx="27">
                  <c:v>21646</c:v>
                </c:pt>
                <c:pt idx="28">
                  <c:v>11520</c:v>
                </c:pt>
                <c:pt idx="29">
                  <c:v>14477</c:v>
                </c:pt>
                <c:pt idx="30">
                  <c:v>5306</c:v>
                </c:pt>
              </c:numCache>
            </c:numRef>
          </c:val>
          <c:smooth val="0"/>
          <c:extLst>
            <c:ext xmlns:c16="http://schemas.microsoft.com/office/drawing/2014/chart" uri="{C3380CC4-5D6E-409C-BE32-E72D297353CC}">
              <c16:uniqueId val="{00000000-6713-48E2-8783-C0887F4450C8}"/>
            </c:ext>
          </c:extLst>
        </c:ser>
        <c:ser>
          <c:idx val="1"/>
          <c:order val="1"/>
          <c:tx>
            <c:strRef>
              <c:f>'Pivot 3'!$M$3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3'!$K$4:$K$35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3'!$M$4:$M$35</c:f>
              <c:numCache>
                <c:formatCode>General</c:formatCode>
                <c:ptCount val="31"/>
                <c:pt idx="0">
                  <c:v>10</c:v>
                </c:pt>
                <c:pt idx="1">
                  <c:v>8</c:v>
                </c:pt>
                <c:pt idx="2">
                  <c:v>7</c:v>
                </c:pt>
                <c:pt idx="3">
                  <c:v>7</c:v>
                </c:pt>
                <c:pt idx="4">
                  <c:v>6</c:v>
                </c:pt>
                <c:pt idx="5">
                  <c:v>7</c:v>
                </c:pt>
                <c:pt idx="6">
                  <c:v>6</c:v>
                </c:pt>
                <c:pt idx="7">
                  <c:v>12</c:v>
                </c:pt>
                <c:pt idx="8">
                  <c:v>2</c:v>
                </c:pt>
                <c:pt idx="9">
                  <c:v>7</c:v>
                </c:pt>
                <c:pt idx="10">
                  <c:v>14</c:v>
                </c:pt>
                <c:pt idx="11">
                  <c:v>4</c:v>
                </c:pt>
                <c:pt idx="12">
                  <c:v>5</c:v>
                </c:pt>
                <c:pt idx="13">
                  <c:v>5</c:v>
                </c:pt>
                <c:pt idx="14">
                  <c:v>8</c:v>
                </c:pt>
                <c:pt idx="15">
                  <c:v>12</c:v>
                </c:pt>
                <c:pt idx="16">
                  <c:v>7</c:v>
                </c:pt>
                <c:pt idx="17">
                  <c:v>8</c:v>
                </c:pt>
                <c:pt idx="18">
                  <c:v>4</c:v>
                </c:pt>
                <c:pt idx="19">
                  <c:v>9</c:v>
                </c:pt>
                <c:pt idx="20">
                  <c:v>6</c:v>
                </c:pt>
                <c:pt idx="21">
                  <c:v>10</c:v>
                </c:pt>
                <c:pt idx="22">
                  <c:v>5</c:v>
                </c:pt>
                <c:pt idx="23">
                  <c:v>10</c:v>
                </c:pt>
                <c:pt idx="24">
                  <c:v>6</c:v>
                </c:pt>
                <c:pt idx="25">
                  <c:v>11</c:v>
                </c:pt>
                <c:pt idx="26">
                  <c:v>5</c:v>
                </c:pt>
                <c:pt idx="27">
                  <c:v>9</c:v>
                </c:pt>
                <c:pt idx="28">
                  <c:v>5</c:v>
                </c:pt>
                <c:pt idx="29">
                  <c:v>8</c:v>
                </c:pt>
                <c:pt idx="30">
                  <c:v>5</c:v>
                </c:pt>
              </c:numCache>
            </c:numRef>
          </c:val>
          <c:smooth val="0"/>
          <c:extLst>
            <c:ext xmlns:c16="http://schemas.microsoft.com/office/drawing/2014/chart" uri="{C3380CC4-5D6E-409C-BE32-E72D297353CC}">
              <c16:uniqueId val="{00000001-6713-48E2-8783-C0887F4450C8}"/>
            </c:ext>
          </c:extLst>
        </c:ser>
        <c:dLbls>
          <c:showLegendKey val="0"/>
          <c:showVal val="0"/>
          <c:showCatName val="0"/>
          <c:showSerName val="0"/>
          <c:showPercent val="0"/>
          <c:showBubbleSize val="0"/>
        </c:dLbls>
        <c:marker val="1"/>
        <c:smooth val="0"/>
        <c:axId val="807171904"/>
        <c:axId val="807181504"/>
      </c:lineChart>
      <c:catAx>
        <c:axId val="80717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7181504"/>
        <c:crosses val="autoZero"/>
        <c:auto val="1"/>
        <c:lblAlgn val="ctr"/>
        <c:lblOffset val="100"/>
        <c:noMultiLvlLbl val="0"/>
      </c:catAx>
      <c:valAx>
        <c:axId val="8071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7171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a:solidFill>
                  <a:schemeClr val="accent2">
                    <a:lumMod val="50000"/>
                  </a:schemeClr>
                </a:solidFill>
              </a:rPr>
              <a:t>Delivery</a:t>
            </a:r>
            <a:r>
              <a:rPr lang="en-IN" sz="1800" baseline="0">
                <a:solidFill>
                  <a:schemeClr val="accent2">
                    <a:lumMod val="50000"/>
                  </a:schemeClr>
                </a:solidFill>
              </a:rPr>
              <a:t> Status</a:t>
            </a:r>
            <a:endParaRPr lang="en-IN" sz="1800">
              <a:solidFill>
                <a:schemeClr val="accent2">
                  <a:lumMod val="50000"/>
                </a:schemeClr>
              </a:solidFill>
            </a:endParaRPr>
          </a:p>
        </c:rich>
      </c:tx>
      <c:layout>
        <c:manualLayout>
          <c:xMode val="edge"/>
          <c:yMode val="edge"/>
          <c:x val="2.2589955574873748E-2"/>
          <c:y val="2.97473524563524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3'!$O$4:$O$8</c:f>
              <c:strCache>
                <c:ptCount val="4"/>
                <c:pt idx="0">
                  <c:v>Cancelled</c:v>
                </c:pt>
                <c:pt idx="1">
                  <c:v>Delivered</c:v>
                </c:pt>
                <c:pt idx="2">
                  <c:v>In Transit</c:v>
                </c:pt>
                <c:pt idx="3">
                  <c:v>Returned</c:v>
                </c:pt>
              </c:strCache>
            </c:strRef>
          </c:cat>
          <c:val>
            <c:numRef>
              <c:f>'Pivot 3'!$P$4:$P$8</c:f>
              <c:numCache>
                <c:formatCode>General</c:formatCode>
                <c:ptCount val="4"/>
                <c:pt idx="0">
                  <c:v>121809</c:v>
                </c:pt>
                <c:pt idx="1">
                  <c:v>105093</c:v>
                </c:pt>
                <c:pt idx="2">
                  <c:v>173713</c:v>
                </c:pt>
                <c:pt idx="3">
                  <c:v>134188</c:v>
                </c:pt>
              </c:numCache>
            </c:numRef>
          </c:val>
          <c:extLst>
            <c:ext xmlns:c16="http://schemas.microsoft.com/office/drawing/2014/chart" uri="{C3380CC4-5D6E-409C-BE32-E72D297353CC}">
              <c16:uniqueId val="{00000000-B93E-45D5-87CA-B02A05B70F41}"/>
            </c:ext>
          </c:extLst>
        </c:ser>
        <c:ser>
          <c:idx val="1"/>
          <c:order val="1"/>
          <c:tx>
            <c:strRef>
              <c:f>'Pivot 3'!$Q$3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3'!$O$4:$O$8</c:f>
              <c:strCache>
                <c:ptCount val="4"/>
                <c:pt idx="0">
                  <c:v>Cancelled</c:v>
                </c:pt>
                <c:pt idx="1">
                  <c:v>Delivered</c:v>
                </c:pt>
                <c:pt idx="2">
                  <c:v>In Transit</c:v>
                </c:pt>
                <c:pt idx="3">
                  <c:v>Returned</c:v>
                </c:pt>
              </c:strCache>
            </c:strRef>
          </c:cat>
          <c:val>
            <c:numRef>
              <c:f>'Pivot 3'!$Q$4:$Q$8</c:f>
              <c:numCache>
                <c:formatCode>General</c:formatCode>
                <c:ptCount val="4"/>
                <c:pt idx="0">
                  <c:v>57</c:v>
                </c:pt>
                <c:pt idx="1">
                  <c:v>49</c:v>
                </c:pt>
                <c:pt idx="2">
                  <c:v>72</c:v>
                </c:pt>
                <c:pt idx="3">
                  <c:v>50</c:v>
                </c:pt>
              </c:numCache>
            </c:numRef>
          </c:val>
          <c:extLst>
            <c:ext xmlns:c16="http://schemas.microsoft.com/office/drawing/2014/chart" uri="{C3380CC4-5D6E-409C-BE32-E72D297353CC}">
              <c16:uniqueId val="{00000001-B93E-45D5-87CA-B02A05B70F41}"/>
            </c:ext>
          </c:extLst>
        </c:ser>
        <c:dLbls>
          <c:showLegendKey val="0"/>
          <c:showVal val="0"/>
          <c:showCatName val="0"/>
          <c:showSerName val="0"/>
          <c:showPercent val="0"/>
          <c:showBubbleSize val="0"/>
        </c:dLbls>
        <c:gapWidth val="115"/>
        <c:overlap val="-20"/>
        <c:axId val="724360576"/>
        <c:axId val="724362016"/>
      </c:barChart>
      <c:catAx>
        <c:axId val="7243605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362016"/>
        <c:crosses val="autoZero"/>
        <c:auto val="1"/>
        <c:lblAlgn val="ctr"/>
        <c:lblOffset val="100"/>
        <c:noMultiLvlLbl val="0"/>
      </c:catAx>
      <c:valAx>
        <c:axId val="72436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3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2!PivotTable6</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kern="1200" baseline="0">
                <a:solidFill>
                  <a:schemeClr val="accent2">
                    <a:lumMod val="50000"/>
                  </a:schemeClr>
                </a:solidFill>
              </a:rPr>
              <a:t>Sales by</a:t>
            </a:r>
          </a:p>
          <a:p>
            <a:pPr>
              <a:defRPr/>
            </a:pPr>
            <a:r>
              <a:rPr lang="en-IN" sz="1800" b="1" i="0" u="none" strike="noStrike" kern="1200" baseline="0">
                <a:solidFill>
                  <a:schemeClr val="accent2">
                    <a:lumMod val="50000"/>
                  </a:schemeClr>
                </a:solidFill>
              </a:rPr>
              <a:t>Products</a:t>
            </a:r>
          </a:p>
        </c:rich>
      </c:tx>
      <c:layout>
        <c:manualLayout>
          <c:xMode val="edge"/>
          <c:yMode val="edge"/>
          <c:x val="0.28860940292402104"/>
          <c:y val="0.503564844185759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3000"/>
            </a:schemeClr>
          </a:solidFill>
          <a:ln>
            <a:noFill/>
          </a:ln>
          <a:effectLst>
            <a:outerShdw blurRad="317500" algn="ctr" rotWithShape="0">
              <a:prstClr val="black">
                <a:alpha val="25000"/>
              </a:prstClr>
            </a:outerShdw>
          </a:effectLst>
        </c:spPr>
      </c:pivotFmt>
      <c:pivotFmt>
        <c:idx val="8"/>
        <c:spPr>
          <a:solidFill>
            <a:schemeClr val="accent2">
              <a:shade val="76000"/>
            </a:schemeClr>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tint val="77000"/>
            </a:schemeClr>
          </a:solidFill>
          <a:ln>
            <a:noFill/>
          </a:ln>
          <a:effectLst>
            <a:outerShdw blurRad="317500" algn="ctr" rotWithShape="0">
              <a:prstClr val="black">
                <a:alpha val="25000"/>
              </a:prstClr>
            </a:outerShdw>
          </a:effectLst>
        </c:spPr>
      </c:pivotFmt>
      <c:pivotFmt>
        <c:idx val="11"/>
        <c:spPr>
          <a:solidFill>
            <a:schemeClr val="accent2">
              <a:tint val="54000"/>
            </a:schemeClr>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hade val="53000"/>
            </a:schemeClr>
          </a:solidFill>
          <a:ln>
            <a:noFill/>
          </a:ln>
          <a:effectLst>
            <a:outerShdw blurRad="317500" algn="ctr" rotWithShape="0">
              <a:prstClr val="black">
                <a:alpha val="25000"/>
              </a:prstClr>
            </a:outerShdw>
          </a:effectLst>
        </c:spPr>
      </c:pivotFmt>
      <c:pivotFmt>
        <c:idx val="14"/>
        <c:spPr>
          <a:solidFill>
            <a:schemeClr val="accent2">
              <a:shade val="76000"/>
            </a:schemeClr>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shade val="53000"/>
            </a:schemeClr>
          </a:solidFill>
          <a:ln>
            <a:noFill/>
          </a:ln>
          <a:effectLst>
            <a:outerShdw blurRad="317500" algn="ctr" rotWithShape="0">
              <a:prstClr val="black">
                <a:alpha val="25000"/>
              </a:prstClr>
            </a:outerShdw>
          </a:effectLst>
        </c:spPr>
      </c:pivotFmt>
      <c:pivotFmt>
        <c:idx val="17"/>
        <c:spPr>
          <a:solidFill>
            <a:schemeClr val="accent2">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2'!$B$3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13-4383-B002-B64061CFFE3A}"/>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13-4383-B002-B64061CFFE3A}"/>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13-4383-B002-B64061CFFE3A}"/>
              </c:ext>
            </c:extLst>
          </c:dPt>
          <c:dPt>
            <c:idx val="3"/>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213-4383-B002-B64061CFFE3A}"/>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213-4383-B002-B64061CFFE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2'!$A$4:$A$9</c:f>
              <c:strCache>
                <c:ptCount val="5"/>
                <c:pt idx="0">
                  <c:v>Nykaa Blush</c:v>
                </c:pt>
                <c:pt idx="1">
                  <c:v>Nykaa Compact</c:v>
                </c:pt>
                <c:pt idx="2">
                  <c:v>Nykaa Eyeliner</c:v>
                </c:pt>
                <c:pt idx="3">
                  <c:v>Nykaa Foundation</c:v>
                </c:pt>
                <c:pt idx="4">
                  <c:v>Nykaa Lipstick</c:v>
                </c:pt>
              </c:strCache>
            </c:strRef>
          </c:cat>
          <c:val>
            <c:numRef>
              <c:f>'Pivot 2'!$B$4:$B$9</c:f>
              <c:numCache>
                <c:formatCode>General</c:formatCode>
                <c:ptCount val="5"/>
                <c:pt idx="0">
                  <c:v>137002</c:v>
                </c:pt>
                <c:pt idx="1">
                  <c:v>144058</c:v>
                </c:pt>
                <c:pt idx="2">
                  <c:v>114338</c:v>
                </c:pt>
                <c:pt idx="3">
                  <c:v>82409</c:v>
                </c:pt>
                <c:pt idx="4">
                  <c:v>96317</c:v>
                </c:pt>
              </c:numCache>
            </c:numRef>
          </c:val>
          <c:extLst>
            <c:ext xmlns:c16="http://schemas.microsoft.com/office/drawing/2014/chart" uri="{C3380CC4-5D6E-409C-BE32-E72D297353CC}">
              <c16:uniqueId val="{0000000A-2213-4383-B002-B64061CFFE3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800" b="1" i="0" u="none" strike="noStrike" kern="1200" baseline="0">
                <a:solidFill>
                  <a:schemeClr val="accent2">
                    <a:lumMod val="50000"/>
                  </a:schemeClr>
                </a:solidFill>
              </a:rPr>
              <a:t>Sales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2'!$D$4:$D$12</c:f>
              <c:strCache>
                <c:ptCount val="8"/>
                <c:pt idx="0">
                  <c:v>Ahmedabad</c:v>
                </c:pt>
                <c:pt idx="1">
                  <c:v>Bangalore</c:v>
                </c:pt>
                <c:pt idx="2">
                  <c:v>Chennai</c:v>
                </c:pt>
                <c:pt idx="3">
                  <c:v>Delhi</c:v>
                </c:pt>
                <c:pt idx="4">
                  <c:v>Hyderabad</c:v>
                </c:pt>
                <c:pt idx="5">
                  <c:v>Kolkata</c:v>
                </c:pt>
                <c:pt idx="6">
                  <c:v>Mumbai</c:v>
                </c:pt>
                <c:pt idx="7">
                  <c:v>Pune</c:v>
                </c:pt>
              </c:strCache>
            </c:strRef>
          </c:cat>
          <c:val>
            <c:numRef>
              <c:f>'Pivot 2'!$E$4:$E$12</c:f>
              <c:numCache>
                <c:formatCode>General</c:formatCode>
                <c:ptCount val="8"/>
                <c:pt idx="0">
                  <c:v>38497</c:v>
                </c:pt>
                <c:pt idx="1">
                  <c:v>68921</c:v>
                </c:pt>
                <c:pt idx="2">
                  <c:v>74526</c:v>
                </c:pt>
                <c:pt idx="3">
                  <c:v>76843</c:v>
                </c:pt>
                <c:pt idx="4">
                  <c:v>67535</c:v>
                </c:pt>
                <c:pt idx="5">
                  <c:v>102113</c:v>
                </c:pt>
                <c:pt idx="6">
                  <c:v>62145</c:v>
                </c:pt>
                <c:pt idx="7">
                  <c:v>83544</c:v>
                </c:pt>
              </c:numCache>
            </c:numRef>
          </c:val>
          <c:extLst>
            <c:ext xmlns:c16="http://schemas.microsoft.com/office/drawing/2014/chart" uri="{C3380CC4-5D6E-409C-BE32-E72D297353CC}">
              <c16:uniqueId val="{00000000-A143-4711-954B-028E6FFE582D}"/>
            </c:ext>
          </c:extLst>
        </c:ser>
        <c:ser>
          <c:idx val="1"/>
          <c:order val="1"/>
          <c:tx>
            <c:strRef>
              <c:f>'Pivot 2'!$F$3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2'!$D$4:$D$12</c:f>
              <c:strCache>
                <c:ptCount val="8"/>
                <c:pt idx="0">
                  <c:v>Ahmedabad</c:v>
                </c:pt>
                <c:pt idx="1">
                  <c:v>Bangalore</c:v>
                </c:pt>
                <c:pt idx="2">
                  <c:v>Chennai</c:v>
                </c:pt>
                <c:pt idx="3">
                  <c:v>Delhi</c:v>
                </c:pt>
                <c:pt idx="4">
                  <c:v>Hyderabad</c:v>
                </c:pt>
                <c:pt idx="5">
                  <c:v>Kolkata</c:v>
                </c:pt>
                <c:pt idx="6">
                  <c:v>Mumbai</c:v>
                </c:pt>
                <c:pt idx="7">
                  <c:v>Pune</c:v>
                </c:pt>
              </c:strCache>
            </c:strRef>
          </c:cat>
          <c:val>
            <c:numRef>
              <c:f>'Pivot 2'!$F$4:$F$12</c:f>
              <c:numCache>
                <c:formatCode>General</c:formatCode>
                <c:ptCount val="8"/>
                <c:pt idx="0">
                  <c:v>14</c:v>
                </c:pt>
                <c:pt idx="1">
                  <c:v>31</c:v>
                </c:pt>
                <c:pt idx="2">
                  <c:v>27</c:v>
                </c:pt>
                <c:pt idx="3">
                  <c:v>33</c:v>
                </c:pt>
                <c:pt idx="4">
                  <c:v>32</c:v>
                </c:pt>
                <c:pt idx="5">
                  <c:v>36</c:v>
                </c:pt>
                <c:pt idx="6">
                  <c:v>27</c:v>
                </c:pt>
                <c:pt idx="7">
                  <c:v>28</c:v>
                </c:pt>
              </c:numCache>
            </c:numRef>
          </c:val>
          <c:extLst>
            <c:ext xmlns:c16="http://schemas.microsoft.com/office/drawing/2014/chart" uri="{C3380CC4-5D6E-409C-BE32-E72D297353CC}">
              <c16:uniqueId val="{00000001-A143-4711-954B-028E6FFE582D}"/>
            </c:ext>
          </c:extLst>
        </c:ser>
        <c:dLbls>
          <c:showLegendKey val="0"/>
          <c:showVal val="0"/>
          <c:showCatName val="0"/>
          <c:showSerName val="0"/>
          <c:showPercent val="0"/>
          <c:showBubbleSize val="0"/>
        </c:dLbls>
        <c:gapWidth val="100"/>
        <c:overlap val="-24"/>
        <c:axId val="1203644927"/>
        <c:axId val="1203642527"/>
      </c:barChart>
      <c:catAx>
        <c:axId val="1203644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3642527"/>
        <c:crosses val="autoZero"/>
        <c:auto val="1"/>
        <c:lblAlgn val="ctr"/>
        <c:lblOffset val="100"/>
        <c:noMultiLvlLbl val="0"/>
      </c:catAx>
      <c:valAx>
        <c:axId val="120364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364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800" b="1" i="0" u="none" strike="noStrike" kern="1200" baseline="0">
                <a:solidFill>
                  <a:schemeClr val="accent2">
                    <a:lumMod val="50000"/>
                  </a:schemeClr>
                </a:solidFill>
              </a:rPr>
              <a:t>Sales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2'!$H$4:$H$16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2'!$I$4:$I$16</c:f>
              <c:numCache>
                <c:formatCode>General</c:formatCode>
                <c:ptCount val="12"/>
                <c:pt idx="0">
                  <c:v>54496</c:v>
                </c:pt>
                <c:pt idx="1">
                  <c:v>43988</c:v>
                </c:pt>
                <c:pt idx="2">
                  <c:v>75123</c:v>
                </c:pt>
                <c:pt idx="3">
                  <c:v>56640</c:v>
                </c:pt>
                <c:pt idx="4">
                  <c:v>29652</c:v>
                </c:pt>
                <c:pt idx="5">
                  <c:v>79562</c:v>
                </c:pt>
                <c:pt idx="6">
                  <c:v>65775</c:v>
                </c:pt>
                <c:pt idx="7">
                  <c:v>44865</c:v>
                </c:pt>
                <c:pt idx="8">
                  <c:v>27505</c:v>
                </c:pt>
                <c:pt idx="9">
                  <c:v>26073</c:v>
                </c:pt>
                <c:pt idx="10">
                  <c:v>28894</c:v>
                </c:pt>
                <c:pt idx="11">
                  <c:v>41551</c:v>
                </c:pt>
              </c:numCache>
            </c:numRef>
          </c:val>
          <c:smooth val="0"/>
          <c:extLst>
            <c:ext xmlns:c16="http://schemas.microsoft.com/office/drawing/2014/chart" uri="{C3380CC4-5D6E-409C-BE32-E72D297353CC}">
              <c16:uniqueId val="{00000000-E5E6-4A7E-981A-E9FEE13E9782}"/>
            </c:ext>
          </c:extLst>
        </c:ser>
        <c:dLbls>
          <c:showLegendKey val="0"/>
          <c:showVal val="0"/>
          <c:showCatName val="0"/>
          <c:showSerName val="0"/>
          <c:showPercent val="0"/>
          <c:showBubbleSize val="0"/>
        </c:dLbls>
        <c:marker val="1"/>
        <c:smooth val="0"/>
        <c:axId val="802613744"/>
        <c:axId val="802614224"/>
      </c:lineChart>
      <c:catAx>
        <c:axId val="802613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2614224"/>
        <c:crosses val="autoZero"/>
        <c:auto val="1"/>
        <c:lblAlgn val="ctr"/>
        <c:lblOffset val="100"/>
        <c:noMultiLvlLbl val="0"/>
      </c:catAx>
      <c:valAx>
        <c:axId val="802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2613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2!PivotTable9</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2000" b="1" i="0" u="none" strike="noStrike" kern="1200" baseline="0">
                <a:solidFill>
                  <a:schemeClr val="accent2">
                    <a:lumMod val="50000"/>
                  </a:schemeClr>
                </a:solidFill>
              </a:rPr>
              <a:t>Daily Sales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2'!$L$3</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2'!$K$4:$K$35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2'!$L$4:$L$35</c:f>
              <c:numCache>
                <c:formatCode>General</c:formatCode>
                <c:ptCount val="31"/>
                <c:pt idx="0">
                  <c:v>4254</c:v>
                </c:pt>
                <c:pt idx="1">
                  <c:v>3915</c:v>
                </c:pt>
                <c:pt idx="2">
                  <c:v>19215</c:v>
                </c:pt>
                <c:pt idx="3">
                  <c:v>29443</c:v>
                </c:pt>
                <c:pt idx="4">
                  <c:v>13019</c:v>
                </c:pt>
                <c:pt idx="5">
                  <c:v>12509</c:v>
                </c:pt>
                <c:pt idx="6">
                  <c:v>29205</c:v>
                </c:pt>
                <c:pt idx="7">
                  <c:v>15497</c:v>
                </c:pt>
                <c:pt idx="8">
                  <c:v>16069</c:v>
                </c:pt>
                <c:pt idx="9">
                  <c:v>4283</c:v>
                </c:pt>
                <c:pt idx="10">
                  <c:v>13190</c:v>
                </c:pt>
                <c:pt idx="11">
                  <c:v>18741</c:v>
                </c:pt>
                <c:pt idx="12">
                  <c:v>24376</c:v>
                </c:pt>
                <c:pt idx="13">
                  <c:v>27480</c:v>
                </c:pt>
                <c:pt idx="14">
                  <c:v>41694</c:v>
                </c:pt>
                <c:pt idx="15">
                  <c:v>26145</c:v>
                </c:pt>
                <c:pt idx="16">
                  <c:v>17210</c:v>
                </c:pt>
                <c:pt idx="17">
                  <c:v>18714</c:v>
                </c:pt>
                <c:pt idx="18">
                  <c:v>6893</c:v>
                </c:pt>
                <c:pt idx="19">
                  <c:v>19805</c:v>
                </c:pt>
                <c:pt idx="20">
                  <c:v>13915</c:v>
                </c:pt>
                <c:pt idx="21">
                  <c:v>19845</c:v>
                </c:pt>
                <c:pt idx="22">
                  <c:v>21200</c:v>
                </c:pt>
                <c:pt idx="23">
                  <c:v>12715</c:v>
                </c:pt>
                <c:pt idx="24">
                  <c:v>22470</c:v>
                </c:pt>
                <c:pt idx="25">
                  <c:v>22417</c:v>
                </c:pt>
                <c:pt idx="26">
                  <c:v>9349</c:v>
                </c:pt>
                <c:pt idx="27">
                  <c:v>30086</c:v>
                </c:pt>
                <c:pt idx="28">
                  <c:v>21820</c:v>
                </c:pt>
                <c:pt idx="29">
                  <c:v>10237</c:v>
                </c:pt>
                <c:pt idx="30">
                  <c:v>28413</c:v>
                </c:pt>
              </c:numCache>
            </c:numRef>
          </c:val>
          <c:smooth val="0"/>
          <c:extLst>
            <c:ext xmlns:c16="http://schemas.microsoft.com/office/drawing/2014/chart" uri="{C3380CC4-5D6E-409C-BE32-E72D297353CC}">
              <c16:uniqueId val="{00000000-239A-4B67-8A32-3DBE75F35679}"/>
            </c:ext>
          </c:extLst>
        </c:ser>
        <c:ser>
          <c:idx val="1"/>
          <c:order val="1"/>
          <c:tx>
            <c:strRef>
              <c:f>'Pivot 2'!$M$3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2'!$K$4:$K$35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2'!$M$4:$M$35</c:f>
              <c:numCache>
                <c:formatCode>General</c:formatCode>
                <c:ptCount val="31"/>
                <c:pt idx="0">
                  <c:v>2</c:v>
                </c:pt>
                <c:pt idx="1">
                  <c:v>3</c:v>
                </c:pt>
                <c:pt idx="2">
                  <c:v>9</c:v>
                </c:pt>
                <c:pt idx="3">
                  <c:v>11</c:v>
                </c:pt>
                <c:pt idx="4">
                  <c:v>5</c:v>
                </c:pt>
                <c:pt idx="5">
                  <c:v>6</c:v>
                </c:pt>
                <c:pt idx="6">
                  <c:v>12</c:v>
                </c:pt>
                <c:pt idx="7">
                  <c:v>8</c:v>
                </c:pt>
                <c:pt idx="8">
                  <c:v>4</c:v>
                </c:pt>
                <c:pt idx="9">
                  <c:v>4</c:v>
                </c:pt>
                <c:pt idx="10">
                  <c:v>6</c:v>
                </c:pt>
                <c:pt idx="11">
                  <c:v>9</c:v>
                </c:pt>
                <c:pt idx="12">
                  <c:v>7</c:v>
                </c:pt>
                <c:pt idx="13">
                  <c:v>10</c:v>
                </c:pt>
                <c:pt idx="14">
                  <c:v>10</c:v>
                </c:pt>
                <c:pt idx="15">
                  <c:v>12</c:v>
                </c:pt>
                <c:pt idx="16">
                  <c:v>7</c:v>
                </c:pt>
                <c:pt idx="17">
                  <c:v>8</c:v>
                </c:pt>
                <c:pt idx="18">
                  <c:v>3</c:v>
                </c:pt>
                <c:pt idx="19">
                  <c:v>8</c:v>
                </c:pt>
                <c:pt idx="20">
                  <c:v>3</c:v>
                </c:pt>
                <c:pt idx="21">
                  <c:v>6</c:v>
                </c:pt>
                <c:pt idx="22">
                  <c:v>10</c:v>
                </c:pt>
                <c:pt idx="23">
                  <c:v>4</c:v>
                </c:pt>
                <c:pt idx="24">
                  <c:v>12</c:v>
                </c:pt>
                <c:pt idx="25">
                  <c:v>11</c:v>
                </c:pt>
                <c:pt idx="26">
                  <c:v>5</c:v>
                </c:pt>
                <c:pt idx="27">
                  <c:v>8</c:v>
                </c:pt>
                <c:pt idx="28">
                  <c:v>7</c:v>
                </c:pt>
                <c:pt idx="29">
                  <c:v>5</c:v>
                </c:pt>
                <c:pt idx="30">
                  <c:v>13</c:v>
                </c:pt>
              </c:numCache>
            </c:numRef>
          </c:val>
          <c:smooth val="0"/>
          <c:extLst>
            <c:ext xmlns:c16="http://schemas.microsoft.com/office/drawing/2014/chart" uri="{C3380CC4-5D6E-409C-BE32-E72D297353CC}">
              <c16:uniqueId val="{00000001-239A-4B67-8A32-3DBE75F35679}"/>
            </c:ext>
          </c:extLst>
        </c:ser>
        <c:dLbls>
          <c:showLegendKey val="0"/>
          <c:showVal val="0"/>
          <c:showCatName val="0"/>
          <c:showSerName val="0"/>
          <c:showPercent val="0"/>
          <c:showBubbleSize val="0"/>
        </c:dLbls>
        <c:marker val="1"/>
        <c:smooth val="0"/>
        <c:axId val="757731200"/>
        <c:axId val="757732640"/>
      </c:lineChart>
      <c:catAx>
        <c:axId val="757731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7732640"/>
        <c:crosses val="autoZero"/>
        <c:auto val="1"/>
        <c:lblAlgn val="ctr"/>
        <c:lblOffset val="100"/>
        <c:noMultiLvlLbl val="0"/>
      </c:catAx>
      <c:valAx>
        <c:axId val="75773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7731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2!PivotTable10</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800" b="1" i="0" u="none" strike="noStrike" kern="1200" baseline="0">
                <a:solidFill>
                  <a:schemeClr val="accent2">
                    <a:lumMod val="50000"/>
                  </a:schemeClr>
                </a:solidFill>
              </a:rPr>
              <a:t>Delivery Status</a:t>
            </a:r>
          </a:p>
        </c:rich>
      </c:tx>
      <c:layout>
        <c:manualLayout>
          <c:xMode val="edge"/>
          <c:yMode val="edge"/>
          <c:x val="2.8072301217894662E-2"/>
          <c:y val="3.418564149221670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2'!$O$4:$O$8</c:f>
              <c:strCache>
                <c:ptCount val="4"/>
                <c:pt idx="0">
                  <c:v>Cancelled</c:v>
                </c:pt>
                <c:pt idx="1">
                  <c:v>Delivered</c:v>
                </c:pt>
                <c:pt idx="2">
                  <c:v>In Transit</c:v>
                </c:pt>
                <c:pt idx="3">
                  <c:v>Returned</c:v>
                </c:pt>
              </c:strCache>
            </c:strRef>
          </c:cat>
          <c:val>
            <c:numRef>
              <c:f>'Pivot 2'!$P$4:$P$8</c:f>
              <c:numCache>
                <c:formatCode>General</c:formatCode>
                <c:ptCount val="4"/>
                <c:pt idx="0">
                  <c:v>160742</c:v>
                </c:pt>
                <c:pt idx="1">
                  <c:v>118327</c:v>
                </c:pt>
                <c:pt idx="2">
                  <c:v>151108</c:v>
                </c:pt>
                <c:pt idx="3">
                  <c:v>143947</c:v>
                </c:pt>
              </c:numCache>
            </c:numRef>
          </c:val>
          <c:extLst>
            <c:ext xmlns:c16="http://schemas.microsoft.com/office/drawing/2014/chart" uri="{C3380CC4-5D6E-409C-BE32-E72D297353CC}">
              <c16:uniqueId val="{00000000-5C89-4132-87C7-0B41AF4EBD90}"/>
            </c:ext>
          </c:extLst>
        </c:ser>
        <c:ser>
          <c:idx val="1"/>
          <c:order val="1"/>
          <c:tx>
            <c:strRef>
              <c:f>'Pivot 2'!$Q$3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2'!$O$4:$O$8</c:f>
              <c:strCache>
                <c:ptCount val="4"/>
                <c:pt idx="0">
                  <c:v>Cancelled</c:v>
                </c:pt>
                <c:pt idx="1">
                  <c:v>Delivered</c:v>
                </c:pt>
                <c:pt idx="2">
                  <c:v>In Transit</c:v>
                </c:pt>
                <c:pt idx="3">
                  <c:v>Returned</c:v>
                </c:pt>
              </c:strCache>
            </c:strRef>
          </c:cat>
          <c:val>
            <c:numRef>
              <c:f>'Pivot 2'!$Q$4:$Q$8</c:f>
              <c:numCache>
                <c:formatCode>General</c:formatCode>
                <c:ptCount val="4"/>
                <c:pt idx="0">
                  <c:v>58</c:v>
                </c:pt>
                <c:pt idx="1">
                  <c:v>54</c:v>
                </c:pt>
                <c:pt idx="2">
                  <c:v>60</c:v>
                </c:pt>
                <c:pt idx="3">
                  <c:v>56</c:v>
                </c:pt>
              </c:numCache>
            </c:numRef>
          </c:val>
          <c:extLst>
            <c:ext xmlns:c16="http://schemas.microsoft.com/office/drawing/2014/chart" uri="{C3380CC4-5D6E-409C-BE32-E72D297353CC}">
              <c16:uniqueId val="{00000001-5C89-4132-87C7-0B41AF4EBD90}"/>
            </c:ext>
          </c:extLst>
        </c:ser>
        <c:dLbls>
          <c:showLegendKey val="0"/>
          <c:showVal val="0"/>
          <c:showCatName val="0"/>
          <c:showSerName val="0"/>
          <c:showPercent val="0"/>
          <c:showBubbleSize val="0"/>
        </c:dLbls>
        <c:gapWidth val="115"/>
        <c:overlap val="-20"/>
        <c:axId val="724307296"/>
        <c:axId val="724303456"/>
      </c:barChart>
      <c:catAx>
        <c:axId val="724307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303456"/>
        <c:crosses val="autoZero"/>
        <c:auto val="1"/>
        <c:lblAlgn val="ctr"/>
        <c:lblOffset val="100"/>
        <c:noMultiLvlLbl val="0"/>
      </c:catAx>
      <c:valAx>
        <c:axId val="72430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30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1!PivotTable1</c:name>
    <c:fmtId val="3"/>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
        <c:idx val="6"/>
        <c:spPr>
          <a:solidFill>
            <a:schemeClr val="accent2">
              <a:shade val="53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1'!$B$3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03-4F3A-9C01-A8AAD1FBA77E}"/>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03-4F3A-9C01-A8AAD1FBA77E}"/>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003-4F3A-9C01-A8AAD1FBA77E}"/>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003-4F3A-9C01-A8AAD1FBA77E}"/>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003-4F3A-9C01-A8AAD1FBA7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1'!$A$4:$A$9</c:f>
              <c:strCache>
                <c:ptCount val="5"/>
                <c:pt idx="0">
                  <c:v>Lakme Blush</c:v>
                </c:pt>
                <c:pt idx="1">
                  <c:v>Lakme Compact</c:v>
                </c:pt>
                <c:pt idx="2">
                  <c:v>Lakme Eyeliner</c:v>
                </c:pt>
                <c:pt idx="3">
                  <c:v>Lakme Foundation</c:v>
                </c:pt>
                <c:pt idx="4">
                  <c:v>Lakme Lipstick</c:v>
                </c:pt>
              </c:strCache>
            </c:strRef>
          </c:cat>
          <c:val>
            <c:numRef>
              <c:f>'Pivot 1'!$B$4:$B$9</c:f>
              <c:numCache>
                <c:formatCode>General</c:formatCode>
                <c:ptCount val="5"/>
                <c:pt idx="0">
                  <c:v>206699</c:v>
                </c:pt>
                <c:pt idx="1">
                  <c:v>155430</c:v>
                </c:pt>
                <c:pt idx="2">
                  <c:v>87469</c:v>
                </c:pt>
                <c:pt idx="3">
                  <c:v>101782</c:v>
                </c:pt>
                <c:pt idx="4">
                  <c:v>100976</c:v>
                </c:pt>
              </c:numCache>
            </c:numRef>
          </c:val>
          <c:extLst>
            <c:ext xmlns:c16="http://schemas.microsoft.com/office/drawing/2014/chart" uri="{C3380CC4-5D6E-409C-BE32-E72D297353CC}">
              <c16:uniqueId val="{00000000-258E-42C2-AD91-453FC0D19D4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1!PivotTable2</c:name>
    <c:fmtId val="6"/>
  </c:pivotSource>
  <c:chart>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1'!$D$4:$D$12</c:f>
              <c:strCache>
                <c:ptCount val="8"/>
                <c:pt idx="0">
                  <c:v>Ahmedabad</c:v>
                </c:pt>
                <c:pt idx="1">
                  <c:v>Bangalore</c:v>
                </c:pt>
                <c:pt idx="2">
                  <c:v>Chennai</c:v>
                </c:pt>
                <c:pt idx="3">
                  <c:v>Delhi</c:v>
                </c:pt>
                <c:pt idx="4">
                  <c:v>Hyderabad</c:v>
                </c:pt>
                <c:pt idx="5">
                  <c:v>Kolkata</c:v>
                </c:pt>
                <c:pt idx="6">
                  <c:v>Mumbai</c:v>
                </c:pt>
                <c:pt idx="7">
                  <c:v>Pune</c:v>
                </c:pt>
              </c:strCache>
            </c:strRef>
          </c:cat>
          <c:val>
            <c:numRef>
              <c:f>'Pivot 1'!$E$4:$E$12</c:f>
              <c:numCache>
                <c:formatCode>General</c:formatCode>
                <c:ptCount val="8"/>
                <c:pt idx="0">
                  <c:v>104282</c:v>
                </c:pt>
                <c:pt idx="1">
                  <c:v>83697</c:v>
                </c:pt>
                <c:pt idx="2">
                  <c:v>56376</c:v>
                </c:pt>
                <c:pt idx="3">
                  <c:v>88049</c:v>
                </c:pt>
                <c:pt idx="4">
                  <c:v>62380</c:v>
                </c:pt>
                <c:pt idx="5">
                  <c:v>85066</c:v>
                </c:pt>
                <c:pt idx="6">
                  <c:v>101125</c:v>
                </c:pt>
                <c:pt idx="7">
                  <c:v>71381</c:v>
                </c:pt>
              </c:numCache>
            </c:numRef>
          </c:val>
          <c:extLst>
            <c:ext xmlns:c16="http://schemas.microsoft.com/office/drawing/2014/chart" uri="{C3380CC4-5D6E-409C-BE32-E72D297353CC}">
              <c16:uniqueId val="{00000000-2887-4E5E-ADC4-059943F45E66}"/>
            </c:ext>
          </c:extLst>
        </c:ser>
        <c:ser>
          <c:idx val="1"/>
          <c:order val="1"/>
          <c:tx>
            <c:strRef>
              <c:f>'Pivot 1'!$F$3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1'!$D$4:$D$12</c:f>
              <c:strCache>
                <c:ptCount val="8"/>
                <c:pt idx="0">
                  <c:v>Ahmedabad</c:v>
                </c:pt>
                <c:pt idx="1">
                  <c:v>Bangalore</c:v>
                </c:pt>
                <c:pt idx="2">
                  <c:v>Chennai</c:v>
                </c:pt>
                <c:pt idx="3">
                  <c:v>Delhi</c:v>
                </c:pt>
                <c:pt idx="4">
                  <c:v>Hyderabad</c:v>
                </c:pt>
                <c:pt idx="5">
                  <c:v>Kolkata</c:v>
                </c:pt>
                <c:pt idx="6">
                  <c:v>Mumbai</c:v>
                </c:pt>
                <c:pt idx="7">
                  <c:v>Pune</c:v>
                </c:pt>
              </c:strCache>
            </c:strRef>
          </c:cat>
          <c:val>
            <c:numRef>
              <c:f>'Pivot 1'!$F$4:$F$12</c:f>
              <c:numCache>
                <c:formatCode>General</c:formatCode>
                <c:ptCount val="8"/>
                <c:pt idx="0">
                  <c:v>41</c:v>
                </c:pt>
                <c:pt idx="1">
                  <c:v>30</c:v>
                </c:pt>
                <c:pt idx="2">
                  <c:v>28</c:v>
                </c:pt>
                <c:pt idx="3">
                  <c:v>29</c:v>
                </c:pt>
                <c:pt idx="4">
                  <c:v>24</c:v>
                </c:pt>
                <c:pt idx="5">
                  <c:v>32</c:v>
                </c:pt>
                <c:pt idx="6">
                  <c:v>34</c:v>
                </c:pt>
                <c:pt idx="7">
                  <c:v>26</c:v>
                </c:pt>
              </c:numCache>
            </c:numRef>
          </c:val>
          <c:extLst>
            <c:ext xmlns:c16="http://schemas.microsoft.com/office/drawing/2014/chart" uri="{C3380CC4-5D6E-409C-BE32-E72D297353CC}">
              <c16:uniqueId val="{00000001-2887-4E5E-ADC4-059943F45E66}"/>
            </c:ext>
          </c:extLst>
        </c:ser>
        <c:dLbls>
          <c:showLegendKey val="0"/>
          <c:showVal val="0"/>
          <c:showCatName val="0"/>
          <c:showSerName val="0"/>
          <c:showPercent val="0"/>
          <c:showBubbleSize val="0"/>
        </c:dLbls>
        <c:gapWidth val="100"/>
        <c:overlap val="-24"/>
        <c:axId val="1200111103"/>
        <c:axId val="1200100063"/>
      </c:barChart>
      <c:catAx>
        <c:axId val="1200111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100063"/>
        <c:crosses val="autoZero"/>
        <c:auto val="1"/>
        <c:lblAlgn val="ctr"/>
        <c:lblOffset val="100"/>
        <c:noMultiLvlLbl val="0"/>
      </c:catAx>
      <c:valAx>
        <c:axId val="120010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1!PivotTable3</c:name>
    <c:fmtId val="3"/>
  </c:pivotSource>
  <c:chart>
    <c:autoTitleDeleted val="1"/>
    <c:pivotFmts>
      <c:pivotFmt>
        <c:idx val="0"/>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1'!$I$3</c:f>
              <c:strCache>
                <c:ptCount val="1"/>
                <c:pt idx="0">
                  <c:v>Total</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1'!$I$4:$I$16</c:f>
              <c:numCache>
                <c:formatCode>General</c:formatCode>
                <c:ptCount val="12"/>
                <c:pt idx="0">
                  <c:v>55517</c:v>
                </c:pt>
                <c:pt idx="1">
                  <c:v>73214</c:v>
                </c:pt>
                <c:pt idx="2">
                  <c:v>56844</c:v>
                </c:pt>
                <c:pt idx="3">
                  <c:v>83185</c:v>
                </c:pt>
                <c:pt idx="4">
                  <c:v>81256</c:v>
                </c:pt>
                <c:pt idx="5">
                  <c:v>42211</c:v>
                </c:pt>
                <c:pt idx="6">
                  <c:v>48647</c:v>
                </c:pt>
                <c:pt idx="7">
                  <c:v>64444</c:v>
                </c:pt>
                <c:pt idx="8">
                  <c:v>32394</c:v>
                </c:pt>
                <c:pt idx="9">
                  <c:v>31814</c:v>
                </c:pt>
                <c:pt idx="10">
                  <c:v>34575</c:v>
                </c:pt>
                <c:pt idx="11">
                  <c:v>48255</c:v>
                </c:pt>
              </c:numCache>
            </c:numRef>
          </c:val>
          <c:smooth val="0"/>
          <c:extLst>
            <c:ext xmlns:c16="http://schemas.microsoft.com/office/drawing/2014/chart" uri="{C3380CC4-5D6E-409C-BE32-E72D297353CC}">
              <c16:uniqueId val="{00000000-75D6-43D2-B630-8C9FD4153455}"/>
            </c:ext>
          </c:extLst>
        </c:ser>
        <c:dLbls>
          <c:showLegendKey val="0"/>
          <c:showVal val="0"/>
          <c:showCatName val="0"/>
          <c:showSerName val="0"/>
          <c:showPercent val="0"/>
          <c:showBubbleSize val="0"/>
        </c:dLbls>
        <c:marker val="1"/>
        <c:smooth val="0"/>
        <c:axId val="1200115903"/>
        <c:axId val="1200123103"/>
      </c:lineChart>
      <c:catAx>
        <c:axId val="1200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123103"/>
        <c:crosses val="autoZero"/>
        <c:auto val="1"/>
        <c:lblAlgn val="ctr"/>
        <c:lblOffset val="100"/>
        <c:noMultiLvlLbl val="0"/>
      </c:catAx>
      <c:valAx>
        <c:axId val="12001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1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1'!$L$3</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1'!$K$4:$K$35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1'!$L$4:$L$35</c:f>
              <c:numCache>
                <c:formatCode>General</c:formatCode>
                <c:ptCount val="31"/>
                <c:pt idx="0">
                  <c:v>17925</c:v>
                </c:pt>
                <c:pt idx="1">
                  <c:v>11663</c:v>
                </c:pt>
                <c:pt idx="2">
                  <c:v>19748</c:v>
                </c:pt>
                <c:pt idx="3">
                  <c:v>19723</c:v>
                </c:pt>
                <c:pt idx="4">
                  <c:v>15689</c:v>
                </c:pt>
                <c:pt idx="5">
                  <c:v>24108</c:v>
                </c:pt>
                <c:pt idx="6">
                  <c:v>6856</c:v>
                </c:pt>
                <c:pt idx="7">
                  <c:v>31324</c:v>
                </c:pt>
                <c:pt idx="8">
                  <c:v>16844</c:v>
                </c:pt>
                <c:pt idx="9">
                  <c:v>22580</c:v>
                </c:pt>
                <c:pt idx="10">
                  <c:v>26769</c:v>
                </c:pt>
                <c:pt idx="11">
                  <c:v>23745</c:v>
                </c:pt>
                <c:pt idx="12">
                  <c:v>25399</c:v>
                </c:pt>
                <c:pt idx="13">
                  <c:v>23626</c:v>
                </c:pt>
                <c:pt idx="14">
                  <c:v>22025</c:v>
                </c:pt>
                <c:pt idx="15">
                  <c:v>16957</c:v>
                </c:pt>
                <c:pt idx="16">
                  <c:v>22941</c:v>
                </c:pt>
                <c:pt idx="17">
                  <c:v>14516</c:v>
                </c:pt>
                <c:pt idx="18">
                  <c:v>19708</c:v>
                </c:pt>
                <c:pt idx="19">
                  <c:v>8637</c:v>
                </c:pt>
                <c:pt idx="20">
                  <c:v>24895</c:v>
                </c:pt>
                <c:pt idx="21">
                  <c:v>41394</c:v>
                </c:pt>
                <c:pt idx="22">
                  <c:v>19674</c:v>
                </c:pt>
                <c:pt idx="23">
                  <c:v>25738</c:v>
                </c:pt>
                <c:pt idx="24">
                  <c:v>9451</c:v>
                </c:pt>
                <c:pt idx="25">
                  <c:v>29365</c:v>
                </c:pt>
                <c:pt idx="26">
                  <c:v>35250</c:v>
                </c:pt>
                <c:pt idx="27">
                  <c:v>16579</c:v>
                </c:pt>
                <c:pt idx="28">
                  <c:v>24904</c:v>
                </c:pt>
                <c:pt idx="29">
                  <c:v>15313</c:v>
                </c:pt>
                <c:pt idx="30">
                  <c:v>19010</c:v>
                </c:pt>
              </c:numCache>
            </c:numRef>
          </c:val>
          <c:smooth val="0"/>
          <c:extLst>
            <c:ext xmlns:c16="http://schemas.microsoft.com/office/drawing/2014/chart" uri="{C3380CC4-5D6E-409C-BE32-E72D297353CC}">
              <c16:uniqueId val="{00000000-59C9-49F3-A102-3178B73E1A3E}"/>
            </c:ext>
          </c:extLst>
        </c:ser>
        <c:ser>
          <c:idx val="1"/>
          <c:order val="1"/>
          <c:tx>
            <c:strRef>
              <c:f>'Pivot 1'!$M$3</c:f>
              <c:strCache>
                <c:ptCount val="1"/>
                <c:pt idx="0">
                  <c:v>Count of order_id</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1'!$K$4:$K$35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1'!$M$4:$M$35</c:f>
              <c:numCache>
                <c:formatCode>General</c:formatCode>
                <c:ptCount val="31"/>
                <c:pt idx="0">
                  <c:v>6</c:v>
                </c:pt>
                <c:pt idx="1">
                  <c:v>5</c:v>
                </c:pt>
                <c:pt idx="2">
                  <c:v>6</c:v>
                </c:pt>
                <c:pt idx="3">
                  <c:v>8</c:v>
                </c:pt>
                <c:pt idx="4">
                  <c:v>9</c:v>
                </c:pt>
                <c:pt idx="5">
                  <c:v>9</c:v>
                </c:pt>
                <c:pt idx="6">
                  <c:v>4</c:v>
                </c:pt>
                <c:pt idx="7">
                  <c:v>11</c:v>
                </c:pt>
                <c:pt idx="8">
                  <c:v>7</c:v>
                </c:pt>
                <c:pt idx="9">
                  <c:v>10</c:v>
                </c:pt>
                <c:pt idx="10">
                  <c:v>10</c:v>
                </c:pt>
                <c:pt idx="11">
                  <c:v>7</c:v>
                </c:pt>
                <c:pt idx="12">
                  <c:v>7</c:v>
                </c:pt>
                <c:pt idx="13">
                  <c:v>8</c:v>
                </c:pt>
                <c:pt idx="14">
                  <c:v>9</c:v>
                </c:pt>
                <c:pt idx="15">
                  <c:v>7</c:v>
                </c:pt>
                <c:pt idx="16">
                  <c:v>11</c:v>
                </c:pt>
                <c:pt idx="17">
                  <c:v>5</c:v>
                </c:pt>
                <c:pt idx="18">
                  <c:v>7</c:v>
                </c:pt>
                <c:pt idx="19">
                  <c:v>4</c:v>
                </c:pt>
                <c:pt idx="20">
                  <c:v>8</c:v>
                </c:pt>
                <c:pt idx="21">
                  <c:v>14</c:v>
                </c:pt>
                <c:pt idx="22">
                  <c:v>8</c:v>
                </c:pt>
                <c:pt idx="23">
                  <c:v>9</c:v>
                </c:pt>
                <c:pt idx="24">
                  <c:v>5</c:v>
                </c:pt>
                <c:pt idx="25">
                  <c:v>8</c:v>
                </c:pt>
                <c:pt idx="26">
                  <c:v>13</c:v>
                </c:pt>
                <c:pt idx="27">
                  <c:v>7</c:v>
                </c:pt>
                <c:pt idx="28">
                  <c:v>10</c:v>
                </c:pt>
                <c:pt idx="29">
                  <c:v>7</c:v>
                </c:pt>
                <c:pt idx="30">
                  <c:v>5</c:v>
                </c:pt>
              </c:numCache>
            </c:numRef>
          </c:val>
          <c:smooth val="0"/>
          <c:extLst>
            <c:ext xmlns:c16="http://schemas.microsoft.com/office/drawing/2014/chart" uri="{C3380CC4-5D6E-409C-BE32-E72D297353CC}">
              <c16:uniqueId val="{00000001-59C9-49F3-A102-3178B73E1A3E}"/>
            </c:ext>
          </c:extLst>
        </c:ser>
        <c:dLbls>
          <c:showLegendKey val="0"/>
          <c:showVal val="0"/>
          <c:showCatName val="0"/>
          <c:showSerName val="0"/>
          <c:showPercent val="0"/>
          <c:showBubbleSize val="0"/>
        </c:dLbls>
        <c:marker val="1"/>
        <c:smooth val="0"/>
        <c:axId val="1529606943"/>
        <c:axId val="1529607903"/>
      </c:lineChart>
      <c:catAx>
        <c:axId val="15296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07903"/>
        <c:crosses val="autoZero"/>
        <c:auto val="1"/>
        <c:lblAlgn val="ctr"/>
        <c:lblOffset val="100"/>
        <c:noMultiLvlLbl val="0"/>
      </c:catAx>
      <c:valAx>
        <c:axId val="152960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1!PivotTable5</c:name>
    <c:fmtId val="2"/>
  </c:pivotSource>
  <c:chart>
    <c:autoTitleDeleted val="1"/>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1'!$O$4:$O$8</c:f>
              <c:strCache>
                <c:ptCount val="4"/>
                <c:pt idx="0">
                  <c:v>Cancelled</c:v>
                </c:pt>
                <c:pt idx="1">
                  <c:v>Delivered</c:v>
                </c:pt>
                <c:pt idx="2">
                  <c:v>In Transit</c:v>
                </c:pt>
                <c:pt idx="3">
                  <c:v>Returned</c:v>
                </c:pt>
              </c:strCache>
            </c:strRef>
          </c:cat>
          <c:val>
            <c:numRef>
              <c:f>'Pivot 1'!$P$4:$P$8</c:f>
              <c:numCache>
                <c:formatCode>General</c:formatCode>
                <c:ptCount val="4"/>
                <c:pt idx="0">
                  <c:v>182703</c:v>
                </c:pt>
                <c:pt idx="1">
                  <c:v>128341</c:v>
                </c:pt>
                <c:pt idx="2">
                  <c:v>169031</c:v>
                </c:pt>
                <c:pt idx="3">
                  <c:v>172281</c:v>
                </c:pt>
              </c:numCache>
            </c:numRef>
          </c:val>
          <c:extLst>
            <c:ext xmlns:c16="http://schemas.microsoft.com/office/drawing/2014/chart" uri="{C3380CC4-5D6E-409C-BE32-E72D297353CC}">
              <c16:uniqueId val="{00000000-2E37-4564-B9DF-7F25089B3BC9}"/>
            </c:ext>
          </c:extLst>
        </c:ser>
        <c:ser>
          <c:idx val="1"/>
          <c:order val="1"/>
          <c:tx>
            <c:strRef>
              <c:f>'Pivot 1'!$Q$3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1'!$O$4:$O$8</c:f>
              <c:strCache>
                <c:ptCount val="4"/>
                <c:pt idx="0">
                  <c:v>Cancelled</c:v>
                </c:pt>
                <c:pt idx="1">
                  <c:v>Delivered</c:v>
                </c:pt>
                <c:pt idx="2">
                  <c:v>In Transit</c:v>
                </c:pt>
                <c:pt idx="3">
                  <c:v>Returned</c:v>
                </c:pt>
              </c:strCache>
            </c:strRef>
          </c:cat>
          <c:val>
            <c:numRef>
              <c:f>'Pivot 1'!$Q$4:$Q$8</c:f>
              <c:numCache>
                <c:formatCode>General</c:formatCode>
                <c:ptCount val="4"/>
                <c:pt idx="0">
                  <c:v>69</c:v>
                </c:pt>
                <c:pt idx="1">
                  <c:v>55</c:v>
                </c:pt>
                <c:pt idx="2">
                  <c:v>60</c:v>
                </c:pt>
                <c:pt idx="3">
                  <c:v>60</c:v>
                </c:pt>
              </c:numCache>
            </c:numRef>
          </c:val>
          <c:extLst>
            <c:ext xmlns:c16="http://schemas.microsoft.com/office/drawing/2014/chart" uri="{C3380CC4-5D6E-409C-BE32-E72D297353CC}">
              <c16:uniqueId val="{00000001-2E37-4564-B9DF-7F25089B3BC9}"/>
            </c:ext>
          </c:extLst>
        </c:ser>
        <c:dLbls>
          <c:showLegendKey val="0"/>
          <c:showVal val="0"/>
          <c:showCatName val="0"/>
          <c:showSerName val="0"/>
          <c:showPercent val="0"/>
          <c:showBubbleSize val="0"/>
        </c:dLbls>
        <c:gapWidth val="115"/>
        <c:overlap val="-20"/>
        <c:axId val="1529630463"/>
        <c:axId val="1529618463"/>
      </c:barChart>
      <c:catAx>
        <c:axId val="15296304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18463"/>
        <c:crosses val="autoZero"/>
        <c:auto val="1"/>
        <c:lblAlgn val="ctr"/>
        <c:lblOffset val="100"/>
        <c:noMultiLvlLbl val="0"/>
      </c:catAx>
      <c:valAx>
        <c:axId val="152961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3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2!PivotTable6</c:name>
    <c:fmtId val="2"/>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hade val="53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2'!$B$3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EE-460A-954D-8F841AE1ACB7}"/>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EE-460A-954D-8F841AE1ACB7}"/>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EE-460A-954D-8F841AE1ACB7}"/>
              </c:ext>
            </c:extLst>
          </c:dPt>
          <c:dPt>
            <c:idx val="3"/>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EE-460A-954D-8F841AE1ACB7}"/>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BEE-460A-954D-8F841AE1AC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2'!$A$4:$A$9</c:f>
              <c:strCache>
                <c:ptCount val="5"/>
                <c:pt idx="0">
                  <c:v>Nykaa Blush</c:v>
                </c:pt>
                <c:pt idx="1">
                  <c:v>Nykaa Compact</c:v>
                </c:pt>
                <c:pt idx="2">
                  <c:v>Nykaa Eyeliner</c:v>
                </c:pt>
                <c:pt idx="3">
                  <c:v>Nykaa Foundation</c:v>
                </c:pt>
                <c:pt idx="4">
                  <c:v>Nykaa Lipstick</c:v>
                </c:pt>
              </c:strCache>
            </c:strRef>
          </c:cat>
          <c:val>
            <c:numRef>
              <c:f>'Pivot 2'!$B$4:$B$9</c:f>
              <c:numCache>
                <c:formatCode>General</c:formatCode>
                <c:ptCount val="5"/>
                <c:pt idx="0">
                  <c:v>137002</c:v>
                </c:pt>
                <c:pt idx="1">
                  <c:v>144058</c:v>
                </c:pt>
                <c:pt idx="2">
                  <c:v>114338</c:v>
                </c:pt>
                <c:pt idx="3">
                  <c:v>82409</c:v>
                </c:pt>
                <c:pt idx="4">
                  <c:v>96317</c:v>
                </c:pt>
              </c:numCache>
            </c:numRef>
          </c:val>
          <c:extLst>
            <c:ext xmlns:c16="http://schemas.microsoft.com/office/drawing/2014/chart" uri="{C3380CC4-5D6E-409C-BE32-E72D297353CC}">
              <c16:uniqueId val="{00000000-0CF1-4B06-B3B3-5C00BE5232F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2!PivotTable7</c:name>
    <c:fmtId val="1"/>
  </c:pivotSource>
  <c:chart>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2'!$D$4:$D$12</c:f>
              <c:strCache>
                <c:ptCount val="8"/>
                <c:pt idx="0">
                  <c:v>Ahmedabad</c:v>
                </c:pt>
                <c:pt idx="1">
                  <c:v>Bangalore</c:v>
                </c:pt>
                <c:pt idx="2">
                  <c:v>Chennai</c:v>
                </c:pt>
                <c:pt idx="3">
                  <c:v>Delhi</c:v>
                </c:pt>
                <c:pt idx="4">
                  <c:v>Hyderabad</c:v>
                </c:pt>
                <c:pt idx="5">
                  <c:v>Kolkata</c:v>
                </c:pt>
                <c:pt idx="6">
                  <c:v>Mumbai</c:v>
                </c:pt>
                <c:pt idx="7">
                  <c:v>Pune</c:v>
                </c:pt>
              </c:strCache>
            </c:strRef>
          </c:cat>
          <c:val>
            <c:numRef>
              <c:f>'Pivot 2'!$E$4:$E$12</c:f>
              <c:numCache>
                <c:formatCode>General</c:formatCode>
                <c:ptCount val="8"/>
                <c:pt idx="0">
                  <c:v>38497</c:v>
                </c:pt>
                <c:pt idx="1">
                  <c:v>68921</c:v>
                </c:pt>
                <c:pt idx="2">
                  <c:v>74526</c:v>
                </c:pt>
                <c:pt idx="3">
                  <c:v>76843</c:v>
                </c:pt>
                <c:pt idx="4">
                  <c:v>67535</c:v>
                </c:pt>
                <c:pt idx="5">
                  <c:v>102113</c:v>
                </c:pt>
                <c:pt idx="6">
                  <c:v>62145</c:v>
                </c:pt>
                <c:pt idx="7">
                  <c:v>83544</c:v>
                </c:pt>
              </c:numCache>
            </c:numRef>
          </c:val>
          <c:extLst>
            <c:ext xmlns:c16="http://schemas.microsoft.com/office/drawing/2014/chart" uri="{C3380CC4-5D6E-409C-BE32-E72D297353CC}">
              <c16:uniqueId val="{00000000-50D0-47EB-B2CF-70D54C8F14E7}"/>
            </c:ext>
          </c:extLst>
        </c:ser>
        <c:ser>
          <c:idx val="1"/>
          <c:order val="1"/>
          <c:tx>
            <c:strRef>
              <c:f>'Pivot 2'!$F$3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2'!$D$4:$D$12</c:f>
              <c:strCache>
                <c:ptCount val="8"/>
                <c:pt idx="0">
                  <c:v>Ahmedabad</c:v>
                </c:pt>
                <c:pt idx="1">
                  <c:v>Bangalore</c:v>
                </c:pt>
                <c:pt idx="2">
                  <c:v>Chennai</c:v>
                </c:pt>
                <c:pt idx="3">
                  <c:v>Delhi</c:v>
                </c:pt>
                <c:pt idx="4">
                  <c:v>Hyderabad</c:v>
                </c:pt>
                <c:pt idx="5">
                  <c:v>Kolkata</c:v>
                </c:pt>
                <c:pt idx="6">
                  <c:v>Mumbai</c:v>
                </c:pt>
                <c:pt idx="7">
                  <c:v>Pune</c:v>
                </c:pt>
              </c:strCache>
            </c:strRef>
          </c:cat>
          <c:val>
            <c:numRef>
              <c:f>'Pivot 2'!$F$4:$F$12</c:f>
              <c:numCache>
                <c:formatCode>General</c:formatCode>
                <c:ptCount val="8"/>
                <c:pt idx="0">
                  <c:v>14</c:v>
                </c:pt>
                <c:pt idx="1">
                  <c:v>31</c:v>
                </c:pt>
                <c:pt idx="2">
                  <c:v>27</c:v>
                </c:pt>
                <c:pt idx="3">
                  <c:v>33</c:v>
                </c:pt>
                <c:pt idx="4">
                  <c:v>32</c:v>
                </c:pt>
                <c:pt idx="5">
                  <c:v>36</c:v>
                </c:pt>
                <c:pt idx="6">
                  <c:v>27</c:v>
                </c:pt>
                <c:pt idx="7">
                  <c:v>28</c:v>
                </c:pt>
              </c:numCache>
            </c:numRef>
          </c:val>
          <c:extLst>
            <c:ext xmlns:c16="http://schemas.microsoft.com/office/drawing/2014/chart" uri="{C3380CC4-5D6E-409C-BE32-E72D297353CC}">
              <c16:uniqueId val="{00000001-50D0-47EB-B2CF-70D54C8F14E7}"/>
            </c:ext>
          </c:extLst>
        </c:ser>
        <c:dLbls>
          <c:showLegendKey val="0"/>
          <c:showVal val="0"/>
          <c:showCatName val="0"/>
          <c:showSerName val="0"/>
          <c:showPercent val="0"/>
          <c:showBubbleSize val="0"/>
        </c:dLbls>
        <c:gapWidth val="100"/>
        <c:overlap val="-24"/>
        <c:axId val="1203644927"/>
        <c:axId val="1203642527"/>
      </c:barChart>
      <c:catAx>
        <c:axId val="1203644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642527"/>
        <c:crosses val="autoZero"/>
        <c:auto val="1"/>
        <c:lblAlgn val="ctr"/>
        <c:lblOffset val="100"/>
        <c:noMultiLvlLbl val="0"/>
      </c:catAx>
      <c:valAx>
        <c:axId val="120364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64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2!PivotTable8</c:name>
    <c:fmtId val="2"/>
  </c:pivotSource>
  <c:chart>
    <c:autoTitleDeleted val="1"/>
    <c:pivotFmts>
      <c:pivotFmt>
        <c:idx val="0"/>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2'!$H$4:$H$16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2'!$I$4:$I$16</c:f>
              <c:numCache>
                <c:formatCode>General</c:formatCode>
                <c:ptCount val="12"/>
                <c:pt idx="0">
                  <c:v>54496</c:v>
                </c:pt>
                <c:pt idx="1">
                  <c:v>43988</c:v>
                </c:pt>
                <c:pt idx="2">
                  <c:v>75123</c:v>
                </c:pt>
                <c:pt idx="3">
                  <c:v>56640</c:v>
                </c:pt>
                <c:pt idx="4">
                  <c:v>29652</c:v>
                </c:pt>
                <c:pt idx="5">
                  <c:v>79562</c:v>
                </c:pt>
                <c:pt idx="6">
                  <c:v>65775</c:v>
                </c:pt>
                <c:pt idx="7">
                  <c:v>44865</c:v>
                </c:pt>
                <c:pt idx="8">
                  <c:v>27505</c:v>
                </c:pt>
                <c:pt idx="9">
                  <c:v>26073</c:v>
                </c:pt>
                <c:pt idx="10">
                  <c:v>28894</c:v>
                </c:pt>
                <c:pt idx="11">
                  <c:v>41551</c:v>
                </c:pt>
              </c:numCache>
            </c:numRef>
          </c:val>
          <c:smooth val="0"/>
          <c:extLst>
            <c:ext xmlns:c16="http://schemas.microsoft.com/office/drawing/2014/chart" uri="{C3380CC4-5D6E-409C-BE32-E72D297353CC}">
              <c16:uniqueId val="{00000000-6DB2-4FF4-AB2C-6E584582CBCC}"/>
            </c:ext>
          </c:extLst>
        </c:ser>
        <c:dLbls>
          <c:showLegendKey val="0"/>
          <c:showVal val="0"/>
          <c:showCatName val="0"/>
          <c:showSerName val="0"/>
          <c:showPercent val="0"/>
          <c:showBubbleSize val="0"/>
        </c:dLbls>
        <c:marker val="1"/>
        <c:smooth val="0"/>
        <c:axId val="802613744"/>
        <c:axId val="802614224"/>
      </c:lineChart>
      <c:catAx>
        <c:axId val="802613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14224"/>
        <c:crosses val="autoZero"/>
        <c:auto val="1"/>
        <c:lblAlgn val="ctr"/>
        <c:lblOffset val="100"/>
        <c:noMultiLvlLbl val="0"/>
      </c:catAx>
      <c:valAx>
        <c:axId val="802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13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2!PivotTable9</c:name>
    <c:fmtId val="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2'!$L$3</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2'!$K$4:$K$35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2'!$L$4:$L$35</c:f>
              <c:numCache>
                <c:formatCode>General</c:formatCode>
                <c:ptCount val="31"/>
                <c:pt idx="0">
                  <c:v>4254</c:v>
                </c:pt>
                <c:pt idx="1">
                  <c:v>3915</c:v>
                </c:pt>
                <c:pt idx="2">
                  <c:v>19215</c:v>
                </c:pt>
                <c:pt idx="3">
                  <c:v>29443</c:v>
                </c:pt>
                <c:pt idx="4">
                  <c:v>13019</c:v>
                </c:pt>
                <c:pt idx="5">
                  <c:v>12509</c:v>
                </c:pt>
                <c:pt idx="6">
                  <c:v>29205</c:v>
                </c:pt>
                <c:pt idx="7">
                  <c:v>15497</c:v>
                </c:pt>
                <c:pt idx="8">
                  <c:v>16069</c:v>
                </c:pt>
                <c:pt idx="9">
                  <c:v>4283</c:v>
                </c:pt>
                <c:pt idx="10">
                  <c:v>13190</c:v>
                </c:pt>
                <c:pt idx="11">
                  <c:v>18741</c:v>
                </c:pt>
                <c:pt idx="12">
                  <c:v>24376</c:v>
                </c:pt>
                <c:pt idx="13">
                  <c:v>27480</c:v>
                </c:pt>
                <c:pt idx="14">
                  <c:v>41694</c:v>
                </c:pt>
                <c:pt idx="15">
                  <c:v>26145</c:v>
                </c:pt>
                <c:pt idx="16">
                  <c:v>17210</c:v>
                </c:pt>
                <c:pt idx="17">
                  <c:v>18714</c:v>
                </c:pt>
                <c:pt idx="18">
                  <c:v>6893</c:v>
                </c:pt>
                <c:pt idx="19">
                  <c:v>19805</c:v>
                </c:pt>
                <c:pt idx="20">
                  <c:v>13915</c:v>
                </c:pt>
                <c:pt idx="21">
                  <c:v>19845</c:v>
                </c:pt>
                <c:pt idx="22">
                  <c:v>21200</c:v>
                </c:pt>
                <c:pt idx="23">
                  <c:v>12715</c:v>
                </c:pt>
                <c:pt idx="24">
                  <c:v>22470</c:v>
                </c:pt>
                <c:pt idx="25">
                  <c:v>22417</c:v>
                </c:pt>
                <c:pt idx="26">
                  <c:v>9349</c:v>
                </c:pt>
                <c:pt idx="27">
                  <c:v>30086</c:v>
                </c:pt>
                <c:pt idx="28">
                  <c:v>21820</c:v>
                </c:pt>
                <c:pt idx="29">
                  <c:v>10237</c:v>
                </c:pt>
                <c:pt idx="30">
                  <c:v>28413</c:v>
                </c:pt>
              </c:numCache>
            </c:numRef>
          </c:val>
          <c:smooth val="0"/>
          <c:extLst>
            <c:ext xmlns:c16="http://schemas.microsoft.com/office/drawing/2014/chart" uri="{C3380CC4-5D6E-409C-BE32-E72D297353CC}">
              <c16:uniqueId val="{00000000-89D4-4969-8545-35A92CD5B7A2}"/>
            </c:ext>
          </c:extLst>
        </c:ser>
        <c:ser>
          <c:idx val="1"/>
          <c:order val="1"/>
          <c:tx>
            <c:strRef>
              <c:f>'Pivot 2'!$M$3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2'!$K$4:$K$35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2'!$M$4:$M$35</c:f>
              <c:numCache>
                <c:formatCode>General</c:formatCode>
                <c:ptCount val="31"/>
                <c:pt idx="0">
                  <c:v>2</c:v>
                </c:pt>
                <c:pt idx="1">
                  <c:v>3</c:v>
                </c:pt>
                <c:pt idx="2">
                  <c:v>9</c:v>
                </c:pt>
                <c:pt idx="3">
                  <c:v>11</c:v>
                </c:pt>
                <c:pt idx="4">
                  <c:v>5</c:v>
                </c:pt>
                <c:pt idx="5">
                  <c:v>6</c:v>
                </c:pt>
                <c:pt idx="6">
                  <c:v>12</c:v>
                </c:pt>
                <c:pt idx="7">
                  <c:v>8</c:v>
                </c:pt>
                <c:pt idx="8">
                  <c:v>4</c:v>
                </c:pt>
                <c:pt idx="9">
                  <c:v>4</c:v>
                </c:pt>
                <c:pt idx="10">
                  <c:v>6</c:v>
                </c:pt>
                <c:pt idx="11">
                  <c:v>9</c:v>
                </c:pt>
                <c:pt idx="12">
                  <c:v>7</c:v>
                </c:pt>
                <c:pt idx="13">
                  <c:v>10</c:v>
                </c:pt>
                <c:pt idx="14">
                  <c:v>10</c:v>
                </c:pt>
                <c:pt idx="15">
                  <c:v>12</c:v>
                </c:pt>
                <c:pt idx="16">
                  <c:v>7</c:v>
                </c:pt>
                <c:pt idx="17">
                  <c:v>8</c:v>
                </c:pt>
                <c:pt idx="18">
                  <c:v>3</c:v>
                </c:pt>
                <c:pt idx="19">
                  <c:v>8</c:v>
                </c:pt>
                <c:pt idx="20">
                  <c:v>3</c:v>
                </c:pt>
                <c:pt idx="21">
                  <c:v>6</c:v>
                </c:pt>
                <c:pt idx="22">
                  <c:v>10</c:v>
                </c:pt>
                <c:pt idx="23">
                  <c:v>4</c:v>
                </c:pt>
                <c:pt idx="24">
                  <c:v>12</c:v>
                </c:pt>
                <c:pt idx="25">
                  <c:v>11</c:v>
                </c:pt>
                <c:pt idx="26">
                  <c:v>5</c:v>
                </c:pt>
                <c:pt idx="27">
                  <c:v>8</c:v>
                </c:pt>
                <c:pt idx="28">
                  <c:v>7</c:v>
                </c:pt>
                <c:pt idx="29">
                  <c:v>5</c:v>
                </c:pt>
                <c:pt idx="30">
                  <c:v>13</c:v>
                </c:pt>
              </c:numCache>
            </c:numRef>
          </c:val>
          <c:smooth val="0"/>
          <c:extLst>
            <c:ext xmlns:c16="http://schemas.microsoft.com/office/drawing/2014/chart" uri="{C3380CC4-5D6E-409C-BE32-E72D297353CC}">
              <c16:uniqueId val="{00000001-89D4-4969-8545-35A92CD5B7A2}"/>
            </c:ext>
          </c:extLst>
        </c:ser>
        <c:dLbls>
          <c:showLegendKey val="0"/>
          <c:showVal val="0"/>
          <c:showCatName val="0"/>
          <c:showSerName val="0"/>
          <c:showPercent val="0"/>
          <c:showBubbleSize val="0"/>
        </c:dLbls>
        <c:marker val="1"/>
        <c:smooth val="0"/>
        <c:axId val="757731200"/>
        <c:axId val="757732640"/>
      </c:lineChart>
      <c:catAx>
        <c:axId val="757731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32640"/>
        <c:crosses val="autoZero"/>
        <c:auto val="1"/>
        <c:lblAlgn val="ctr"/>
        <c:lblOffset val="100"/>
        <c:noMultiLvlLbl val="0"/>
      </c:catAx>
      <c:valAx>
        <c:axId val="75773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31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2!PivotTable10</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2'!$O$4:$O$8</c:f>
              <c:strCache>
                <c:ptCount val="4"/>
                <c:pt idx="0">
                  <c:v>Cancelled</c:v>
                </c:pt>
                <c:pt idx="1">
                  <c:v>Delivered</c:v>
                </c:pt>
                <c:pt idx="2">
                  <c:v>In Transit</c:v>
                </c:pt>
                <c:pt idx="3">
                  <c:v>Returned</c:v>
                </c:pt>
              </c:strCache>
            </c:strRef>
          </c:cat>
          <c:val>
            <c:numRef>
              <c:f>'Pivot 2'!$P$4:$P$8</c:f>
              <c:numCache>
                <c:formatCode>General</c:formatCode>
                <c:ptCount val="4"/>
                <c:pt idx="0">
                  <c:v>160742</c:v>
                </c:pt>
                <c:pt idx="1">
                  <c:v>118327</c:v>
                </c:pt>
                <c:pt idx="2">
                  <c:v>151108</c:v>
                </c:pt>
                <c:pt idx="3">
                  <c:v>143947</c:v>
                </c:pt>
              </c:numCache>
            </c:numRef>
          </c:val>
          <c:extLst>
            <c:ext xmlns:c16="http://schemas.microsoft.com/office/drawing/2014/chart" uri="{C3380CC4-5D6E-409C-BE32-E72D297353CC}">
              <c16:uniqueId val="{00000000-3CAE-445E-8D8F-0780B5C52F90}"/>
            </c:ext>
          </c:extLst>
        </c:ser>
        <c:ser>
          <c:idx val="1"/>
          <c:order val="1"/>
          <c:tx>
            <c:strRef>
              <c:f>'Pivot 2'!$Q$3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2'!$O$4:$O$8</c:f>
              <c:strCache>
                <c:ptCount val="4"/>
                <c:pt idx="0">
                  <c:v>Cancelled</c:v>
                </c:pt>
                <c:pt idx="1">
                  <c:v>Delivered</c:v>
                </c:pt>
                <c:pt idx="2">
                  <c:v>In Transit</c:v>
                </c:pt>
                <c:pt idx="3">
                  <c:v>Returned</c:v>
                </c:pt>
              </c:strCache>
            </c:strRef>
          </c:cat>
          <c:val>
            <c:numRef>
              <c:f>'Pivot 2'!$Q$4:$Q$8</c:f>
              <c:numCache>
                <c:formatCode>General</c:formatCode>
                <c:ptCount val="4"/>
                <c:pt idx="0">
                  <c:v>58</c:v>
                </c:pt>
                <c:pt idx="1">
                  <c:v>54</c:v>
                </c:pt>
                <c:pt idx="2">
                  <c:v>60</c:v>
                </c:pt>
                <c:pt idx="3">
                  <c:v>56</c:v>
                </c:pt>
              </c:numCache>
            </c:numRef>
          </c:val>
          <c:extLst>
            <c:ext xmlns:c16="http://schemas.microsoft.com/office/drawing/2014/chart" uri="{C3380CC4-5D6E-409C-BE32-E72D297353CC}">
              <c16:uniqueId val="{00000001-3CAE-445E-8D8F-0780B5C52F90}"/>
            </c:ext>
          </c:extLst>
        </c:ser>
        <c:dLbls>
          <c:showLegendKey val="0"/>
          <c:showVal val="0"/>
          <c:showCatName val="0"/>
          <c:showSerName val="0"/>
          <c:showPercent val="0"/>
          <c:showBubbleSize val="0"/>
        </c:dLbls>
        <c:gapWidth val="115"/>
        <c:overlap val="-20"/>
        <c:axId val="724307296"/>
        <c:axId val="724303456"/>
      </c:barChart>
      <c:catAx>
        <c:axId val="724307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03456"/>
        <c:crosses val="autoZero"/>
        <c:auto val="1"/>
        <c:lblAlgn val="ctr"/>
        <c:lblOffset val="100"/>
        <c:noMultiLvlLbl val="0"/>
      </c:catAx>
      <c:valAx>
        <c:axId val="72430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0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brand.xlsx]Pivot 3!PivotTable1</c:name>
    <c:fmtId val="2"/>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
        <c:idx val="6"/>
        <c:spPr>
          <a:solidFill>
            <a:schemeClr val="accent2">
              <a:shade val="53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3'!$B$3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69C-4730-AE44-4C87C63E92B1}"/>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69C-4730-AE44-4C87C63E92B1}"/>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69C-4730-AE44-4C87C63E92B1}"/>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69C-4730-AE44-4C87C63E92B1}"/>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69C-4730-AE44-4C87C63E92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3'!$A$4:$A$9</c:f>
              <c:strCache>
                <c:ptCount val="5"/>
                <c:pt idx="0">
                  <c:v>Sugar Blush</c:v>
                </c:pt>
                <c:pt idx="1">
                  <c:v>Sugar Compact</c:v>
                </c:pt>
                <c:pt idx="2">
                  <c:v>Sugar Eyeliner</c:v>
                </c:pt>
                <c:pt idx="3">
                  <c:v>Sugar Foundation</c:v>
                </c:pt>
                <c:pt idx="4">
                  <c:v>Sugar Lipstick</c:v>
                </c:pt>
              </c:strCache>
            </c:strRef>
          </c:cat>
          <c:val>
            <c:numRef>
              <c:f>'Pivot 3'!$B$4:$B$9</c:f>
              <c:numCache>
                <c:formatCode>General</c:formatCode>
                <c:ptCount val="5"/>
                <c:pt idx="0">
                  <c:v>97734</c:v>
                </c:pt>
                <c:pt idx="1">
                  <c:v>90973</c:v>
                </c:pt>
                <c:pt idx="2">
                  <c:v>116409</c:v>
                </c:pt>
                <c:pt idx="3">
                  <c:v>108091</c:v>
                </c:pt>
                <c:pt idx="4">
                  <c:v>121596</c:v>
                </c:pt>
              </c:numCache>
            </c:numRef>
          </c:val>
          <c:extLst>
            <c:ext xmlns:c16="http://schemas.microsoft.com/office/drawing/2014/chart" uri="{C3380CC4-5D6E-409C-BE32-E72D297353CC}">
              <c16:uniqueId val="{00000000-4383-42C2-9D87-803EFC6E49B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3!PivotTable2</c:name>
    <c:fmtId val="2"/>
  </c:pivotSource>
  <c:chart>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3'!$E$3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3'!$D$4:$D$12</c:f>
              <c:strCache>
                <c:ptCount val="8"/>
                <c:pt idx="0">
                  <c:v>Ahmedabad</c:v>
                </c:pt>
                <c:pt idx="1">
                  <c:v>Bangalore</c:v>
                </c:pt>
                <c:pt idx="2">
                  <c:v>Chennai</c:v>
                </c:pt>
                <c:pt idx="3">
                  <c:v>Delhi</c:v>
                </c:pt>
                <c:pt idx="4">
                  <c:v>Hyderabad</c:v>
                </c:pt>
                <c:pt idx="5">
                  <c:v>Kolkata</c:v>
                </c:pt>
                <c:pt idx="6">
                  <c:v>Mumbai</c:v>
                </c:pt>
                <c:pt idx="7">
                  <c:v>Pune</c:v>
                </c:pt>
              </c:strCache>
            </c:strRef>
          </c:cat>
          <c:val>
            <c:numRef>
              <c:f>'Pivot 3'!$E$4:$E$12</c:f>
              <c:numCache>
                <c:formatCode>General</c:formatCode>
                <c:ptCount val="8"/>
                <c:pt idx="0">
                  <c:v>61863</c:v>
                </c:pt>
                <c:pt idx="1">
                  <c:v>50929</c:v>
                </c:pt>
                <c:pt idx="2">
                  <c:v>66952</c:v>
                </c:pt>
                <c:pt idx="3">
                  <c:v>101439</c:v>
                </c:pt>
                <c:pt idx="4">
                  <c:v>66044</c:v>
                </c:pt>
                <c:pt idx="5">
                  <c:v>66168</c:v>
                </c:pt>
                <c:pt idx="6">
                  <c:v>57948</c:v>
                </c:pt>
                <c:pt idx="7">
                  <c:v>63460</c:v>
                </c:pt>
              </c:numCache>
            </c:numRef>
          </c:val>
          <c:extLst>
            <c:ext xmlns:c16="http://schemas.microsoft.com/office/drawing/2014/chart" uri="{C3380CC4-5D6E-409C-BE32-E72D297353CC}">
              <c16:uniqueId val="{00000000-BB54-4AD2-9D85-3A3C2ACE8CD3}"/>
            </c:ext>
          </c:extLst>
        </c:ser>
        <c:ser>
          <c:idx val="1"/>
          <c:order val="1"/>
          <c:tx>
            <c:strRef>
              <c:f>'Pivot 3'!$F$3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3'!$D$4:$D$12</c:f>
              <c:strCache>
                <c:ptCount val="8"/>
                <c:pt idx="0">
                  <c:v>Ahmedabad</c:v>
                </c:pt>
                <c:pt idx="1">
                  <c:v>Bangalore</c:v>
                </c:pt>
                <c:pt idx="2">
                  <c:v>Chennai</c:v>
                </c:pt>
                <c:pt idx="3">
                  <c:v>Delhi</c:v>
                </c:pt>
                <c:pt idx="4">
                  <c:v>Hyderabad</c:v>
                </c:pt>
                <c:pt idx="5">
                  <c:v>Kolkata</c:v>
                </c:pt>
                <c:pt idx="6">
                  <c:v>Mumbai</c:v>
                </c:pt>
                <c:pt idx="7">
                  <c:v>Pune</c:v>
                </c:pt>
              </c:strCache>
            </c:strRef>
          </c:cat>
          <c:val>
            <c:numRef>
              <c:f>'Pivot 3'!$F$4:$F$12</c:f>
              <c:numCache>
                <c:formatCode>General</c:formatCode>
                <c:ptCount val="8"/>
                <c:pt idx="0">
                  <c:v>23</c:v>
                </c:pt>
                <c:pt idx="1">
                  <c:v>24</c:v>
                </c:pt>
                <c:pt idx="2">
                  <c:v>26</c:v>
                </c:pt>
                <c:pt idx="3">
                  <c:v>40</c:v>
                </c:pt>
                <c:pt idx="4">
                  <c:v>29</c:v>
                </c:pt>
                <c:pt idx="5">
                  <c:v>27</c:v>
                </c:pt>
                <c:pt idx="6">
                  <c:v>29</c:v>
                </c:pt>
                <c:pt idx="7">
                  <c:v>30</c:v>
                </c:pt>
              </c:numCache>
            </c:numRef>
          </c:val>
          <c:extLst>
            <c:ext xmlns:c16="http://schemas.microsoft.com/office/drawing/2014/chart" uri="{C3380CC4-5D6E-409C-BE32-E72D297353CC}">
              <c16:uniqueId val="{00000001-BB54-4AD2-9D85-3A3C2ACE8CD3}"/>
            </c:ext>
          </c:extLst>
        </c:ser>
        <c:dLbls>
          <c:showLegendKey val="0"/>
          <c:showVal val="0"/>
          <c:showCatName val="0"/>
          <c:showSerName val="0"/>
          <c:showPercent val="0"/>
          <c:showBubbleSize val="0"/>
        </c:dLbls>
        <c:gapWidth val="100"/>
        <c:overlap val="-24"/>
        <c:axId val="850722624"/>
        <c:axId val="850711584"/>
      </c:barChart>
      <c:catAx>
        <c:axId val="850722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11584"/>
        <c:crosses val="autoZero"/>
        <c:auto val="1"/>
        <c:lblAlgn val="ctr"/>
        <c:lblOffset val="100"/>
        <c:noMultiLvlLbl val="0"/>
      </c:catAx>
      <c:valAx>
        <c:axId val="85071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3!PivotTable3</c:name>
    <c:fmtId val="1"/>
  </c:pivotSource>
  <c:chart>
    <c:autoTitleDeleted val="1"/>
    <c:pivotFmts>
      <c:pivotFmt>
        <c:idx val="0"/>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3'!$I$3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3'!$H$4:$H$16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3'!$I$4:$I$16</c:f>
              <c:numCache>
                <c:formatCode>General</c:formatCode>
                <c:ptCount val="12"/>
                <c:pt idx="0">
                  <c:v>40598</c:v>
                </c:pt>
                <c:pt idx="1">
                  <c:v>43403</c:v>
                </c:pt>
                <c:pt idx="2">
                  <c:v>61714</c:v>
                </c:pt>
                <c:pt idx="3">
                  <c:v>67794</c:v>
                </c:pt>
                <c:pt idx="4">
                  <c:v>53570</c:v>
                </c:pt>
                <c:pt idx="5">
                  <c:v>56457</c:v>
                </c:pt>
                <c:pt idx="6">
                  <c:v>86103</c:v>
                </c:pt>
                <c:pt idx="7">
                  <c:v>27875</c:v>
                </c:pt>
                <c:pt idx="8">
                  <c:v>31967</c:v>
                </c:pt>
                <c:pt idx="9">
                  <c:v>27984</c:v>
                </c:pt>
                <c:pt idx="10">
                  <c:v>17147</c:v>
                </c:pt>
                <c:pt idx="11">
                  <c:v>20191</c:v>
                </c:pt>
              </c:numCache>
            </c:numRef>
          </c:val>
          <c:smooth val="0"/>
          <c:extLst>
            <c:ext xmlns:c16="http://schemas.microsoft.com/office/drawing/2014/chart" uri="{C3380CC4-5D6E-409C-BE32-E72D297353CC}">
              <c16:uniqueId val="{00000000-CC29-46A2-B371-1F8C5F587E6D}"/>
            </c:ext>
          </c:extLst>
        </c:ser>
        <c:dLbls>
          <c:showLegendKey val="0"/>
          <c:showVal val="0"/>
          <c:showCatName val="0"/>
          <c:showSerName val="0"/>
          <c:showPercent val="0"/>
          <c:showBubbleSize val="0"/>
        </c:dLbls>
        <c:marker val="1"/>
        <c:smooth val="0"/>
        <c:axId val="840735648"/>
        <c:axId val="840733728"/>
      </c:lineChart>
      <c:catAx>
        <c:axId val="8407356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3728"/>
        <c:crosses val="autoZero"/>
        <c:auto val="1"/>
        <c:lblAlgn val="ctr"/>
        <c:lblOffset val="100"/>
        <c:noMultiLvlLbl val="0"/>
      </c:catAx>
      <c:valAx>
        <c:axId val="84073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5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3!PivotTable4</c:name>
    <c:fmtId val="3"/>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3'!$L$3</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3'!$K$4:$K$35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3'!$L$4:$L$35</c:f>
              <c:numCache>
                <c:formatCode>General</c:formatCode>
                <c:ptCount val="31"/>
                <c:pt idx="0">
                  <c:v>17342</c:v>
                </c:pt>
                <c:pt idx="1">
                  <c:v>13713</c:v>
                </c:pt>
                <c:pt idx="2">
                  <c:v>22547</c:v>
                </c:pt>
                <c:pt idx="3">
                  <c:v>17083</c:v>
                </c:pt>
                <c:pt idx="4">
                  <c:v>19998</c:v>
                </c:pt>
                <c:pt idx="5">
                  <c:v>9574</c:v>
                </c:pt>
                <c:pt idx="6">
                  <c:v>9648</c:v>
                </c:pt>
                <c:pt idx="7">
                  <c:v>30120</c:v>
                </c:pt>
                <c:pt idx="8">
                  <c:v>3351</c:v>
                </c:pt>
                <c:pt idx="9">
                  <c:v>11003</c:v>
                </c:pt>
                <c:pt idx="10">
                  <c:v>36894</c:v>
                </c:pt>
                <c:pt idx="11">
                  <c:v>14116</c:v>
                </c:pt>
                <c:pt idx="12">
                  <c:v>7772</c:v>
                </c:pt>
                <c:pt idx="13">
                  <c:v>13385</c:v>
                </c:pt>
                <c:pt idx="14">
                  <c:v>18817</c:v>
                </c:pt>
                <c:pt idx="15">
                  <c:v>24704</c:v>
                </c:pt>
                <c:pt idx="16">
                  <c:v>12948</c:v>
                </c:pt>
                <c:pt idx="17">
                  <c:v>28027</c:v>
                </c:pt>
                <c:pt idx="18">
                  <c:v>18183</c:v>
                </c:pt>
                <c:pt idx="19">
                  <c:v>25959</c:v>
                </c:pt>
                <c:pt idx="20">
                  <c:v>19334</c:v>
                </c:pt>
                <c:pt idx="21">
                  <c:v>23636</c:v>
                </c:pt>
                <c:pt idx="22">
                  <c:v>10412</c:v>
                </c:pt>
                <c:pt idx="23">
                  <c:v>27452</c:v>
                </c:pt>
                <c:pt idx="24">
                  <c:v>10726</c:v>
                </c:pt>
                <c:pt idx="25">
                  <c:v>22072</c:v>
                </c:pt>
                <c:pt idx="26">
                  <c:v>13038</c:v>
                </c:pt>
                <c:pt idx="27">
                  <c:v>21646</c:v>
                </c:pt>
                <c:pt idx="28">
                  <c:v>11520</c:v>
                </c:pt>
                <c:pt idx="29">
                  <c:v>14477</c:v>
                </c:pt>
                <c:pt idx="30">
                  <c:v>5306</c:v>
                </c:pt>
              </c:numCache>
            </c:numRef>
          </c:val>
          <c:smooth val="0"/>
          <c:extLst>
            <c:ext xmlns:c16="http://schemas.microsoft.com/office/drawing/2014/chart" uri="{C3380CC4-5D6E-409C-BE32-E72D297353CC}">
              <c16:uniqueId val="{00000000-FF80-45D7-A8A2-F69701855470}"/>
            </c:ext>
          </c:extLst>
        </c:ser>
        <c:ser>
          <c:idx val="1"/>
          <c:order val="1"/>
          <c:tx>
            <c:strRef>
              <c:f>'Pivot 3'!$M$3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'Pivot 3'!$K$4:$K$35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'Pivot 3'!$M$4:$M$35</c:f>
              <c:numCache>
                <c:formatCode>General</c:formatCode>
                <c:ptCount val="31"/>
                <c:pt idx="0">
                  <c:v>10</c:v>
                </c:pt>
                <c:pt idx="1">
                  <c:v>8</c:v>
                </c:pt>
                <c:pt idx="2">
                  <c:v>7</c:v>
                </c:pt>
                <c:pt idx="3">
                  <c:v>7</c:v>
                </c:pt>
                <c:pt idx="4">
                  <c:v>6</c:v>
                </c:pt>
                <c:pt idx="5">
                  <c:v>7</c:v>
                </c:pt>
                <c:pt idx="6">
                  <c:v>6</c:v>
                </c:pt>
                <c:pt idx="7">
                  <c:v>12</c:v>
                </c:pt>
                <c:pt idx="8">
                  <c:v>2</c:v>
                </c:pt>
                <c:pt idx="9">
                  <c:v>7</c:v>
                </c:pt>
                <c:pt idx="10">
                  <c:v>14</c:v>
                </c:pt>
                <c:pt idx="11">
                  <c:v>4</c:v>
                </c:pt>
                <c:pt idx="12">
                  <c:v>5</c:v>
                </c:pt>
                <c:pt idx="13">
                  <c:v>5</c:v>
                </c:pt>
                <c:pt idx="14">
                  <c:v>8</c:v>
                </c:pt>
                <c:pt idx="15">
                  <c:v>12</c:v>
                </c:pt>
                <c:pt idx="16">
                  <c:v>7</c:v>
                </c:pt>
                <c:pt idx="17">
                  <c:v>8</c:v>
                </c:pt>
                <c:pt idx="18">
                  <c:v>4</c:v>
                </c:pt>
                <c:pt idx="19">
                  <c:v>9</c:v>
                </c:pt>
                <c:pt idx="20">
                  <c:v>6</c:v>
                </c:pt>
                <c:pt idx="21">
                  <c:v>10</c:v>
                </c:pt>
                <c:pt idx="22">
                  <c:v>5</c:v>
                </c:pt>
                <c:pt idx="23">
                  <c:v>10</c:v>
                </c:pt>
                <c:pt idx="24">
                  <c:v>6</c:v>
                </c:pt>
                <c:pt idx="25">
                  <c:v>11</c:v>
                </c:pt>
                <c:pt idx="26">
                  <c:v>5</c:v>
                </c:pt>
                <c:pt idx="27">
                  <c:v>9</c:v>
                </c:pt>
                <c:pt idx="28">
                  <c:v>5</c:v>
                </c:pt>
                <c:pt idx="29">
                  <c:v>8</c:v>
                </c:pt>
                <c:pt idx="30">
                  <c:v>5</c:v>
                </c:pt>
              </c:numCache>
            </c:numRef>
          </c:val>
          <c:smooth val="0"/>
          <c:extLst>
            <c:ext xmlns:c16="http://schemas.microsoft.com/office/drawing/2014/chart" uri="{C3380CC4-5D6E-409C-BE32-E72D297353CC}">
              <c16:uniqueId val="{00000001-FF80-45D7-A8A2-F69701855470}"/>
            </c:ext>
          </c:extLst>
        </c:ser>
        <c:dLbls>
          <c:showLegendKey val="0"/>
          <c:showVal val="0"/>
          <c:showCatName val="0"/>
          <c:showSerName val="0"/>
          <c:showPercent val="0"/>
          <c:showBubbleSize val="0"/>
        </c:dLbls>
        <c:marker val="1"/>
        <c:smooth val="0"/>
        <c:axId val="807171904"/>
        <c:axId val="807181504"/>
      </c:lineChart>
      <c:catAx>
        <c:axId val="80717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81504"/>
        <c:crosses val="autoZero"/>
        <c:auto val="1"/>
        <c:lblAlgn val="ctr"/>
        <c:lblOffset val="100"/>
        <c:noMultiLvlLbl val="0"/>
      </c:catAx>
      <c:valAx>
        <c:axId val="8071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71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brand.xlsx]Pivot 3!PivotTable5</c:name>
    <c:fmtId val="3"/>
  </c:pivotSource>
  <c:chart>
    <c:autoTitleDeleted val="1"/>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3'!$P$3</c:f>
              <c:strCache>
                <c:ptCount val="1"/>
                <c:pt idx="0">
                  <c:v>Sum of amount</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cat>
            <c:strRef>
              <c:f>'Pivot 3'!$O$4:$O$8</c:f>
              <c:strCache>
                <c:ptCount val="4"/>
                <c:pt idx="0">
                  <c:v>Cancelled</c:v>
                </c:pt>
                <c:pt idx="1">
                  <c:v>Delivered</c:v>
                </c:pt>
                <c:pt idx="2">
                  <c:v>In Transit</c:v>
                </c:pt>
                <c:pt idx="3">
                  <c:v>Returned</c:v>
                </c:pt>
              </c:strCache>
            </c:strRef>
          </c:cat>
          <c:val>
            <c:numRef>
              <c:f>'Pivot 3'!$P$4:$P$8</c:f>
              <c:numCache>
                <c:formatCode>General</c:formatCode>
                <c:ptCount val="4"/>
                <c:pt idx="0">
                  <c:v>121809</c:v>
                </c:pt>
                <c:pt idx="1">
                  <c:v>105093</c:v>
                </c:pt>
                <c:pt idx="2">
                  <c:v>173713</c:v>
                </c:pt>
                <c:pt idx="3">
                  <c:v>134188</c:v>
                </c:pt>
              </c:numCache>
            </c:numRef>
          </c:val>
          <c:extLst>
            <c:ext xmlns:c16="http://schemas.microsoft.com/office/drawing/2014/chart" uri="{C3380CC4-5D6E-409C-BE32-E72D297353CC}">
              <c16:uniqueId val="{00000000-9B2A-40DD-8EC0-9AC23019CA36}"/>
            </c:ext>
          </c:extLst>
        </c:ser>
        <c:ser>
          <c:idx val="1"/>
          <c:order val="1"/>
          <c:tx>
            <c:strRef>
              <c:f>'Pivot 3'!$Q$3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3'!$O$4:$O$8</c:f>
              <c:strCache>
                <c:ptCount val="4"/>
                <c:pt idx="0">
                  <c:v>Cancelled</c:v>
                </c:pt>
                <c:pt idx="1">
                  <c:v>Delivered</c:v>
                </c:pt>
                <c:pt idx="2">
                  <c:v>In Transit</c:v>
                </c:pt>
                <c:pt idx="3">
                  <c:v>Returned</c:v>
                </c:pt>
              </c:strCache>
            </c:strRef>
          </c:cat>
          <c:val>
            <c:numRef>
              <c:f>'Pivot 3'!$Q$4:$Q$8</c:f>
              <c:numCache>
                <c:formatCode>General</c:formatCode>
                <c:ptCount val="4"/>
                <c:pt idx="0">
                  <c:v>57</c:v>
                </c:pt>
                <c:pt idx="1">
                  <c:v>49</c:v>
                </c:pt>
                <c:pt idx="2">
                  <c:v>72</c:v>
                </c:pt>
                <c:pt idx="3">
                  <c:v>50</c:v>
                </c:pt>
              </c:numCache>
            </c:numRef>
          </c:val>
          <c:extLst>
            <c:ext xmlns:c16="http://schemas.microsoft.com/office/drawing/2014/chart" uri="{C3380CC4-5D6E-409C-BE32-E72D297353CC}">
              <c16:uniqueId val="{00000001-9B2A-40DD-8EC0-9AC23019CA36}"/>
            </c:ext>
          </c:extLst>
        </c:ser>
        <c:dLbls>
          <c:showLegendKey val="0"/>
          <c:showVal val="0"/>
          <c:showCatName val="0"/>
          <c:showSerName val="0"/>
          <c:showPercent val="0"/>
          <c:showBubbleSize val="0"/>
        </c:dLbls>
        <c:gapWidth val="115"/>
        <c:overlap val="-20"/>
        <c:axId val="724360576"/>
        <c:axId val="724362016"/>
      </c:barChart>
      <c:catAx>
        <c:axId val="7243605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2016"/>
        <c:crosses val="autoZero"/>
        <c:auto val="1"/>
        <c:lblAlgn val="ctr"/>
        <c:lblOffset val="100"/>
        <c:noMultiLvlLbl val="0"/>
      </c:catAx>
      <c:valAx>
        <c:axId val="72436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brand.xlsx]Dashboard!PivotTable1</c:name>
    <c:fmtId val="10"/>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38000"/>
            </a:schemeClr>
          </a:solidFill>
          <a:ln>
            <a:noFill/>
          </a:ln>
          <a:effectLst>
            <a:outerShdw blurRad="317500" algn="ctr" rotWithShape="0">
              <a:prstClr val="black">
                <a:alpha val="25000"/>
              </a:prstClr>
            </a:outerShdw>
          </a:effectLst>
        </c:spPr>
      </c:pivotFmt>
      <c:pivotFmt>
        <c:idx val="2"/>
        <c:spPr>
          <a:solidFill>
            <a:schemeClr val="accent2">
              <a:shade val="47000"/>
            </a:schemeClr>
          </a:solidFill>
          <a:ln>
            <a:noFill/>
          </a:ln>
          <a:effectLst>
            <a:outerShdw blurRad="317500" algn="ctr" rotWithShape="0">
              <a:prstClr val="black">
                <a:alpha val="25000"/>
              </a:prstClr>
            </a:outerShdw>
          </a:effectLst>
        </c:spPr>
      </c:pivotFmt>
      <c:pivotFmt>
        <c:idx val="3"/>
        <c:spPr>
          <a:solidFill>
            <a:schemeClr val="accent2">
              <a:shade val="56000"/>
            </a:schemeClr>
          </a:solidFill>
          <a:ln>
            <a:noFill/>
          </a:ln>
          <a:effectLst>
            <a:outerShdw blurRad="317500" algn="ctr" rotWithShape="0">
              <a:prstClr val="black">
                <a:alpha val="25000"/>
              </a:prstClr>
            </a:outerShdw>
          </a:effectLst>
        </c:spPr>
      </c:pivotFmt>
      <c:pivotFmt>
        <c:idx val="4"/>
        <c:spPr>
          <a:solidFill>
            <a:schemeClr val="accent2">
              <a:shade val="65000"/>
            </a:schemeClr>
          </a:solidFill>
          <a:ln>
            <a:noFill/>
          </a:ln>
          <a:effectLst>
            <a:outerShdw blurRad="317500" algn="ctr" rotWithShape="0">
              <a:prstClr val="black">
                <a:alpha val="25000"/>
              </a:prstClr>
            </a:outerShdw>
          </a:effectLst>
        </c:spPr>
      </c:pivotFmt>
      <c:pivotFmt>
        <c:idx val="5"/>
        <c:spPr>
          <a:solidFill>
            <a:schemeClr val="accent2">
              <a:shade val="73000"/>
            </a:schemeClr>
          </a:solidFill>
          <a:ln>
            <a:noFill/>
          </a:ln>
          <a:effectLst>
            <a:outerShdw blurRad="317500" algn="ctr" rotWithShape="0">
              <a:prstClr val="black">
                <a:alpha val="25000"/>
              </a:prstClr>
            </a:outerShdw>
          </a:effectLst>
        </c:spPr>
      </c:pivotFmt>
      <c:pivotFmt>
        <c:idx val="6"/>
        <c:spPr>
          <a:solidFill>
            <a:schemeClr val="accent2">
              <a:shade val="82000"/>
            </a:schemeClr>
          </a:solidFill>
          <a:ln>
            <a:noFill/>
          </a:ln>
          <a:effectLst>
            <a:outerShdw blurRad="317500" algn="ctr" rotWithShape="0">
              <a:prstClr val="black">
                <a:alpha val="25000"/>
              </a:prstClr>
            </a:outerShdw>
          </a:effectLst>
        </c:spPr>
      </c:pivotFmt>
      <c:pivotFmt>
        <c:idx val="7"/>
        <c:spPr>
          <a:solidFill>
            <a:schemeClr val="accent2">
              <a:shade val="91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hade val="38000"/>
            </a:schemeClr>
          </a:solidFill>
          <a:ln>
            <a:noFill/>
          </a:ln>
          <a:effectLst>
            <a:outerShdw blurRad="317500" algn="ctr" rotWithShape="0">
              <a:prstClr val="black">
                <a:alpha val="25000"/>
              </a:prstClr>
            </a:outerShdw>
          </a:effectLst>
        </c:spPr>
      </c:pivotFmt>
      <c:pivotFmt>
        <c:idx val="10"/>
        <c:spPr>
          <a:solidFill>
            <a:schemeClr val="accent2">
              <a:tint val="83000"/>
            </a:schemeClr>
          </a:solidFill>
          <a:ln>
            <a:noFill/>
          </a:ln>
          <a:effectLst>
            <a:outerShdw blurRad="317500" algn="ctr" rotWithShape="0">
              <a:prstClr val="black">
                <a:alpha val="25000"/>
              </a:prstClr>
            </a:outerShdw>
          </a:effectLst>
        </c:spPr>
      </c:pivotFmt>
      <c:pivotFmt>
        <c:idx val="11"/>
        <c:spPr>
          <a:solidFill>
            <a:schemeClr val="accent2">
              <a:tint val="74000"/>
            </a:schemeClr>
          </a:solidFill>
          <a:ln>
            <a:noFill/>
          </a:ln>
          <a:effectLst>
            <a:outerShdw blurRad="317500" algn="ctr" rotWithShape="0">
              <a:prstClr val="black">
                <a:alpha val="25000"/>
              </a:prstClr>
            </a:outerShdw>
          </a:effectLst>
        </c:spPr>
      </c:pivotFmt>
      <c:pivotFmt>
        <c:idx val="12"/>
        <c:spPr>
          <a:solidFill>
            <a:schemeClr val="accent2">
              <a:tint val="65000"/>
            </a:schemeClr>
          </a:solidFill>
          <a:ln>
            <a:noFill/>
          </a:ln>
          <a:effectLst>
            <a:outerShdw blurRad="317500" algn="ctr" rotWithShape="0">
              <a:prstClr val="black">
                <a:alpha val="25000"/>
              </a:prstClr>
            </a:outerShdw>
          </a:effectLst>
        </c:spPr>
      </c:pivotFmt>
      <c:pivotFmt>
        <c:idx val="13"/>
        <c:spPr>
          <a:solidFill>
            <a:schemeClr val="accent2">
              <a:tint val="57000"/>
            </a:schemeClr>
          </a:solidFill>
          <a:ln>
            <a:noFill/>
          </a:ln>
          <a:effectLst>
            <a:outerShdw blurRad="317500" algn="ctr" rotWithShape="0">
              <a:prstClr val="black">
                <a:alpha val="25000"/>
              </a:prstClr>
            </a:outerShdw>
          </a:effectLst>
        </c:spPr>
      </c:pivotFmt>
      <c:pivotFmt>
        <c:idx val="14"/>
        <c:spPr>
          <a:solidFill>
            <a:schemeClr val="accent2">
              <a:tint val="48000"/>
            </a:schemeClr>
          </a:solidFill>
          <a:ln>
            <a:noFill/>
          </a:ln>
          <a:effectLst>
            <a:outerShdw blurRad="317500" algn="ctr" rotWithShape="0">
              <a:prstClr val="black">
                <a:alpha val="25000"/>
              </a:prstClr>
            </a:outerShdw>
          </a:effectLst>
        </c:spPr>
      </c:pivotFmt>
      <c:pivotFmt>
        <c:idx val="15"/>
        <c:spPr>
          <a:solidFill>
            <a:schemeClr val="accent2">
              <a:tint val="39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Dashboard!$B$3</c:f>
              <c:strCache>
                <c:ptCount val="1"/>
                <c:pt idx="0">
                  <c:v>Total</c:v>
                </c:pt>
              </c:strCache>
            </c:strRef>
          </c:tx>
          <c:dPt>
            <c:idx val="0"/>
            <c:bubble3D val="0"/>
            <c:spPr>
              <a:solidFill>
                <a:schemeClr val="accent2">
                  <a:shade val="3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FAF-4F3D-89CB-067D369065F7}"/>
              </c:ext>
            </c:extLst>
          </c:dPt>
          <c:dPt>
            <c:idx val="1"/>
            <c:bubble3D val="0"/>
            <c:spPr>
              <a:solidFill>
                <a:schemeClr val="accent2">
                  <a:shade val="4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FAF-4F3D-89CB-067D369065F7}"/>
              </c:ext>
            </c:extLst>
          </c:dPt>
          <c:dPt>
            <c:idx val="2"/>
            <c:bubble3D val="0"/>
            <c:spPr>
              <a:solidFill>
                <a:schemeClr val="accent2">
                  <a:shade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FAF-4F3D-89CB-067D369065F7}"/>
              </c:ext>
            </c:extLst>
          </c:dPt>
          <c:dPt>
            <c:idx val="3"/>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FAF-4F3D-89CB-067D369065F7}"/>
              </c:ext>
            </c:extLst>
          </c:dPt>
          <c:dPt>
            <c:idx val="4"/>
            <c:bubble3D val="0"/>
            <c:spPr>
              <a:solidFill>
                <a:schemeClr val="accent2">
                  <a:shade val="7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FAF-4F3D-89CB-067D369065F7}"/>
              </c:ext>
            </c:extLst>
          </c:dPt>
          <c:dPt>
            <c:idx val="5"/>
            <c:bubble3D val="0"/>
            <c:spPr>
              <a:solidFill>
                <a:schemeClr val="accent2">
                  <a:shade val="8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FAF-4F3D-89CB-067D369065F7}"/>
              </c:ext>
            </c:extLst>
          </c:dPt>
          <c:dPt>
            <c:idx val="6"/>
            <c:bubble3D val="0"/>
            <c:spPr>
              <a:solidFill>
                <a:schemeClr val="accent2">
                  <a:shade val="9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FAF-4F3D-89CB-067D369065F7}"/>
              </c:ext>
            </c:extLst>
          </c:dPt>
          <c:dPt>
            <c:idx val="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FAF-4F3D-89CB-067D369065F7}"/>
              </c:ext>
            </c:extLst>
          </c:dPt>
          <c:dPt>
            <c:idx val="8"/>
            <c:bubble3D val="0"/>
            <c:spPr>
              <a:solidFill>
                <a:schemeClr val="accent2">
                  <a:shade val="3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FAF-4F3D-89CB-067D369065F7}"/>
              </c:ext>
            </c:extLst>
          </c:dPt>
          <c:dPt>
            <c:idx val="9"/>
            <c:bubble3D val="0"/>
            <c:spPr>
              <a:solidFill>
                <a:schemeClr val="accent2">
                  <a:tint val="8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FAF-4F3D-89CB-067D369065F7}"/>
              </c:ext>
            </c:extLst>
          </c:dPt>
          <c:dPt>
            <c:idx val="10"/>
            <c:bubble3D val="0"/>
            <c:spPr>
              <a:solidFill>
                <a:schemeClr val="accent2">
                  <a:tint val="7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EFAF-4F3D-89CB-067D369065F7}"/>
              </c:ext>
            </c:extLst>
          </c:dPt>
          <c:dPt>
            <c:idx val="11"/>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EFAF-4F3D-89CB-067D369065F7}"/>
              </c:ext>
            </c:extLst>
          </c:dPt>
          <c:dPt>
            <c:idx val="12"/>
            <c:bubble3D val="0"/>
            <c:spPr>
              <a:solidFill>
                <a:schemeClr val="accent2">
                  <a:tint val="5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EFAF-4F3D-89CB-067D369065F7}"/>
              </c:ext>
            </c:extLst>
          </c:dPt>
          <c:dPt>
            <c:idx val="13"/>
            <c:bubble3D val="0"/>
            <c:spPr>
              <a:solidFill>
                <a:schemeClr val="accent2">
                  <a:tint val="4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EFAF-4F3D-89CB-067D369065F7}"/>
              </c:ext>
            </c:extLst>
          </c:dPt>
          <c:dPt>
            <c:idx val="14"/>
            <c:bubble3D val="0"/>
            <c:spPr>
              <a:solidFill>
                <a:schemeClr val="accent2">
                  <a:tint val="39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EFAF-4F3D-89CB-067D369065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Dashboard!$A$4:$A$19</c:f>
              <c:strCache>
                <c:ptCount val="15"/>
                <c:pt idx="0">
                  <c:v>Lakme Blush</c:v>
                </c:pt>
                <c:pt idx="1">
                  <c:v>Lakme Compact</c:v>
                </c:pt>
                <c:pt idx="2">
                  <c:v>Lakme Eyeliner</c:v>
                </c:pt>
                <c:pt idx="3">
                  <c:v>Lakme Foundation</c:v>
                </c:pt>
                <c:pt idx="4">
                  <c:v>Lakme Lipstick</c:v>
                </c:pt>
                <c:pt idx="5">
                  <c:v>Nykaa Blush</c:v>
                </c:pt>
                <c:pt idx="6">
                  <c:v>Nykaa Compact</c:v>
                </c:pt>
                <c:pt idx="7">
                  <c:v>Nykaa Eyeliner</c:v>
                </c:pt>
                <c:pt idx="8">
                  <c:v>Nykaa Foundation</c:v>
                </c:pt>
                <c:pt idx="9">
                  <c:v>Nykaa Lipstick</c:v>
                </c:pt>
                <c:pt idx="10">
                  <c:v>Sugar Blush</c:v>
                </c:pt>
                <c:pt idx="11">
                  <c:v>Sugar Compact</c:v>
                </c:pt>
                <c:pt idx="12">
                  <c:v>Sugar Eyeliner</c:v>
                </c:pt>
                <c:pt idx="13">
                  <c:v>Sugar Foundation</c:v>
                </c:pt>
                <c:pt idx="14">
                  <c:v>Sugar Lipstick</c:v>
                </c:pt>
              </c:strCache>
            </c:strRef>
          </c:cat>
          <c:val>
            <c:numRef>
              <c:f>Dashboard!$B$4:$B$19</c:f>
              <c:numCache>
                <c:formatCode>General</c:formatCode>
                <c:ptCount val="15"/>
                <c:pt idx="0">
                  <c:v>206699</c:v>
                </c:pt>
                <c:pt idx="1">
                  <c:v>155430</c:v>
                </c:pt>
                <c:pt idx="2">
                  <c:v>87469</c:v>
                </c:pt>
                <c:pt idx="3">
                  <c:v>101782</c:v>
                </c:pt>
                <c:pt idx="4">
                  <c:v>100976</c:v>
                </c:pt>
                <c:pt idx="5">
                  <c:v>137002</c:v>
                </c:pt>
                <c:pt idx="6">
                  <c:v>144058</c:v>
                </c:pt>
                <c:pt idx="7">
                  <c:v>114338</c:v>
                </c:pt>
                <c:pt idx="8">
                  <c:v>82409</c:v>
                </c:pt>
                <c:pt idx="9">
                  <c:v>96317</c:v>
                </c:pt>
                <c:pt idx="10">
                  <c:v>97734</c:v>
                </c:pt>
                <c:pt idx="11">
                  <c:v>90973</c:v>
                </c:pt>
                <c:pt idx="12">
                  <c:v>116409</c:v>
                </c:pt>
                <c:pt idx="13">
                  <c:v>108091</c:v>
                </c:pt>
                <c:pt idx="14">
                  <c:v>121596</c:v>
                </c:pt>
              </c:numCache>
            </c:numRef>
          </c:val>
          <c:extLst>
            <c:ext xmlns:c16="http://schemas.microsoft.com/office/drawing/2014/chart" uri="{C3380CC4-5D6E-409C-BE32-E72D297353CC}">
              <c16:uniqueId val="{00000000-D74D-405F-9405-B4E567F668B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brand.xlsx]Dashboard!PivotTable2</c:name>
    <c:fmtId val="4"/>
  </c:pivotSource>
  <c:chart>
    <c:autoTitleDeleted val="0"/>
    <c:pivotFmts>
      <c:pivotFmt>
        <c:idx val="0"/>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Dashboard!$E$3</c:f>
              <c:strCache>
                <c:ptCount val="1"/>
                <c:pt idx="0">
                  <c:v>Sum of amount</c:v>
                </c:pt>
              </c:strCache>
            </c:strRef>
          </c:tx>
          <c:spPr>
            <a:solidFill>
              <a:schemeClr val="accent2">
                <a:lumMod val="50000"/>
              </a:schemeClr>
            </a:solidFill>
            <a:ln>
              <a:solidFill>
                <a:schemeClr val="accent2">
                  <a:lumMod val="50000"/>
                </a:schemeClr>
              </a:solidFill>
            </a:ln>
            <a:effectLst>
              <a:outerShdw blurRad="57150" dist="19050" dir="5400000" algn="ctr" rotWithShape="0">
                <a:srgbClr val="000000">
                  <a:alpha val="63000"/>
                </a:srgbClr>
              </a:outerShdw>
            </a:effectLst>
          </c:spPr>
          <c:invertIfNegative val="0"/>
          <c:cat>
            <c:strRef>
              <c:f>Dashboard!$D$4:$D$12</c:f>
              <c:strCache>
                <c:ptCount val="8"/>
                <c:pt idx="0">
                  <c:v>Ahmedabad</c:v>
                </c:pt>
                <c:pt idx="1">
                  <c:v>Bangalore</c:v>
                </c:pt>
                <c:pt idx="2">
                  <c:v>Chennai</c:v>
                </c:pt>
                <c:pt idx="3">
                  <c:v>Delhi</c:v>
                </c:pt>
                <c:pt idx="4">
                  <c:v>Hyderabad</c:v>
                </c:pt>
                <c:pt idx="5">
                  <c:v>Kolkata</c:v>
                </c:pt>
                <c:pt idx="6">
                  <c:v>Mumbai</c:v>
                </c:pt>
                <c:pt idx="7">
                  <c:v>Pune</c:v>
                </c:pt>
              </c:strCache>
            </c:strRef>
          </c:cat>
          <c:val>
            <c:numRef>
              <c:f>Dashboard!$E$4:$E$12</c:f>
              <c:numCache>
                <c:formatCode>General</c:formatCode>
                <c:ptCount val="8"/>
                <c:pt idx="0">
                  <c:v>204642</c:v>
                </c:pt>
                <c:pt idx="1">
                  <c:v>203547</c:v>
                </c:pt>
                <c:pt idx="2">
                  <c:v>197854</c:v>
                </c:pt>
                <c:pt idx="3">
                  <c:v>266331</c:v>
                </c:pt>
                <c:pt idx="4">
                  <c:v>195959</c:v>
                </c:pt>
                <c:pt idx="5">
                  <c:v>253347</c:v>
                </c:pt>
                <c:pt idx="6">
                  <c:v>221218</c:v>
                </c:pt>
                <c:pt idx="7">
                  <c:v>218385</c:v>
                </c:pt>
              </c:numCache>
            </c:numRef>
          </c:val>
          <c:extLst>
            <c:ext xmlns:c16="http://schemas.microsoft.com/office/drawing/2014/chart" uri="{C3380CC4-5D6E-409C-BE32-E72D297353CC}">
              <c16:uniqueId val="{00000000-A5D0-42E7-8CB2-B71B7AA4A62A}"/>
            </c:ext>
          </c:extLst>
        </c:ser>
        <c:ser>
          <c:idx val="1"/>
          <c:order val="1"/>
          <c:tx>
            <c:strRef>
              <c:f>Dashboard!$F$3</c:f>
              <c:strCache>
                <c:ptCount val="1"/>
                <c:pt idx="0">
                  <c:v>Count of order_id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Dashboard!$D$4:$D$12</c:f>
              <c:strCache>
                <c:ptCount val="8"/>
                <c:pt idx="0">
                  <c:v>Ahmedabad</c:v>
                </c:pt>
                <c:pt idx="1">
                  <c:v>Bangalore</c:v>
                </c:pt>
                <c:pt idx="2">
                  <c:v>Chennai</c:v>
                </c:pt>
                <c:pt idx="3">
                  <c:v>Delhi</c:v>
                </c:pt>
                <c:pt idx="4">
                  <c:v>Hyderabad</c:v>
                </c:pt>
                <c:pt idx="5">
                  <c:v>Kolkata</c:v>
                </c:pt>
                <c:pt idx="6">
                  <c:v>Mumbai</c:v>
                </c:pt>
                <c:pt idx="7">
                  <c:v>Pune</c:v>
                </c:pt>
              </c:strCache>
            </c:strRef>
          </c:cat>
          <c:val>
            <c:numRef>
              <c:f>Dashboard!$F$4:$F$12</c:f>
              <c:numCache>
                <c:formatCode>General</c:formatCode>
                <c:ptCount val="8"/>
                <c:pt idx="0">
                  <c:v>78</c:v>
                </c:pt>
                <c:pt idx="1">
                  <c:v>85</c:v>
                </c:pt>
                <c:pt idx="2">
                  <c:v>81</c:v>
                </c:pt>
                <c:pt idx="3">
                  <c:v>102</c:v>
                </c:pt>
                <c:pt idx="4">
                  <c:v>85</c:v>
                </c:pt>
                <c:pt idx="5">
                  <c:v>95</c:v>
                </c:pt>
                <c:pt idx="6">
                  <c:v>90</c:v>
                </c:pt>
                <c:pt idx="7">
                  <c:v>84</c:v>
                </c:pt>
              </c:numCache>
            </c:numRef>
          </c:val>
          <c:extLst>
            <c:ext xmlns:c16="http://schemas.microsoft.com/office/drawing/2014/chart" uri="{C3380CC4-5D6E-409C-BE32-E72D297353CC}">
              <c16:uniqueId val="{00000001-A5D0-42E7-8CB2-B71B7AA4A62A}"/>
            </c:ext>
          </c:extLst>
        </c:ser>
        <c:dLbls>
          <c:showLegendKey val="0"/>
          <c:showVal val="0"/>
          <c:showCatName val="0"/>
          <c:showSerName val="0"/>
          <c:showPercent val="0"/>
          <c:showBubbleSize val="0"/>
        </c:dLbls>
        <c:gapWidth val="100"/>
        <c:axId val="1675178080"/>
        <c:axId val="1675178560"/>
      </c:barChart>
      <c:catAx>
        <c:axId val="1675178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78560"/>
        <c:crosses val="autoZero"/>
        <c:auto val="1"/>
        <c:lblAlgn val="ctr"/>
        <c:lblOffset val="100"/>
        <c:noMultiLvlLbl val="0"/>
      </c:catAx>
      <c:valAx>
        <c:axId val="167517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7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brand.xlsx]Dashboard!PivotTable3</c:name>
    <c:fmtId val="2"/>
  </c:pivotSource>
  <c:chart>
    <c:autoTitleDeleted val="1"/>
    <c:pivotFmts>
      <c:pivotFmt>
        <c:idx val="0"/>
        <c:spPr>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Dashboard!$I$3</c:f>
              <c:strCache>
                <c:ptCount val="1"/>
                <c:pt idx="0">
                  <c:v>Total</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diamond"/>
            <c:size val="5"/>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Dashboard!$H$4:$H$16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Dashboard!$I$4:$I$16</c:f>
              <c:numCache>
                <c:formatCode>General</c:formatCode>
                <c:ptCount val="12"/>
                <c:pt idx="0">
                  <c:v>150611</c:v>
                </c:pt>
                <c:pt idx="1">
                  <c:v>160605</c:v>
                </c:pt>
                <c:pt idx="2">
                  <c:v>193681</c:v>
                </c:pt>
                <c:pt idx="3">
                  <c:v>207619</c:v>
                </c:pt>
                <c:pt idx="4">
                  <c:v>164478</c:v>
                </c:pt>
                <c:pt idx="5">
                  <c:v>178230</c:v>
                </c:pt>
                <c:pt idx="6">
                  <c:v>200525</c:v>
                </c:pt>
                <c:pt idx="7">
                  <c:v>137184</c:v>
                </c:pt>
                <c:pt idx="8">
                  <c:v>91866</c:v>
                </c:pt>
                <c:pt idx="9">
                  <c:v>85871</c:v>
                </c:pt>
                <c:pt idx="10">
                  <c:v>80616</c:v>
                </c:pt>
                <c:pt idx="11">
                  <c:v>109997</c:v>
                </c:pt>
              </c:numCache>
            </c:numRef>
          </c:val>
          <c:smooth val="0"/>
          <c:extLst>
            <c:ext xmlns:c16="http://schemas.microsoft.com/office/drawing/2014/chart" uri="{C3380CC4-5D6E-409C-BE32-E72D297353CC}">
              <c16:uniqueId val="{00000000-8F08-41CE-A222-F420733A8EA0}"/>
            </c:ext>
          </c:extLst>
        </c:ser>
        <c:dLbls>
          <c:showLegendKey val="0"/>
          <c:showVal val="0"/>
          <c:showCatName val="0"/>
          <c:showSerName val="0"/>
          <c:showPercent val="0"/>
          <c:showBubbleSize val="0"/>
        </c:dLbls>
        <c:marker val="1"/>
        <c:smooth val="0"/>
        <c:axId val="1630940096"/>
        <c:axId val="1630941056"/>
      </c:lineChart>
      <c:catAx>
        <c:axId val="1630940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41056"/>
        <c:crosses val="autoZero"/>
        <c:auto val="1"/>
        <c:lblAlgn val="ctr"/>
        <c:lblOffset val="100"/>
        <c:noMultiLvlLbl val="0"/>
      </c:catAx>
      <c:valAx>
        <c:axId val="163094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4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projects of cosmectics brand.xlsx]Dashboard!PivotTable4</c:name>
    <c:fmtId val="1"/>
  </c:pivotSource>
  <c:chart>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Dashboard!$L$3</c:f>
              <c:strCache>
                <c:ptCount val="1"/>
                <c:pt idx="0">
                  <c:v>Sum of amount</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Dashboard!$K$4:$K$35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Dashboard!$L$4:$L$35</c:f>
              <c:numCache>
                <c:formatCode>General</c:formatCode>
                <c:ptCount val="31"/>
                <c:pt idx="0">
                  <c:v>39521</c:v>
                </c:pt>
                <c:pt idx="1">
                  <c:v>29291</c:v>
                </c:pt>
                <c:pt idx="2">
                  <c:v>61510</c:v>
                </c:pt>
                <c:pt idx="3">
                  <c:v>66249</c:v>
                </c:pt>
                <c:pt idx="4">
                  <c:v>48706</c:v>
                </c:pt>
                <c:pt idx="5">
                  <c:v>46191</c:v>
                </c:pt>
                <c:pt idx="6">
                  <c:v>45709</c:v>
                </c:pt>
                <c:pt idx="7">
                  <c:v>76941</c:v>
                </c:pt>
                <c:pt idx="8">
                  <c:v>36264</c:v>
                </c:pt>
                <c:pt idx="9">
                  <c:v>37866</c:v>
                </c:pt>
                <c:pt idx="10">
                  <c:v>76853</c:v>
                </c:pt>
                <c:pt idx="11">
                  <c:v>56602</c:v>
                </c:pt>
                <c:pt idx="12">
                  <c:v>57547</c:v>
                </c:pt>
                <c:pt idx="13">
                  <c:v>64491</c:v>
                </c:pt>
                <c:pt idx="14">
                  <c:v>82536</c:v>
                </c:pt>
                <c:pt idx="15">
                  <c:v>67806</c:v>
                </c:pt>
                <c:pt idx="16">
                  <c:v>53099</c:v>
                </c:pt>
                <c:pt idx="17">
                  <c:v>61257</c:v>
                </c:pt>
                <c:pt idx="18">
                  <c:v>44784</c:v>
                </c:pt>
                <c:pt idx="19">
                  <c:v>54401</c:v>
                </c:pt>
                <c:pt idx="20">
                  <c:v>58144</c:v>
                </c:pt>
                <c:pt idx="21">
                  <c:v>84875</c:v>
                </c:pt>
                <c:pt idx="22">
                  <c:v>51286</c:v>
                </c:pt>
                <c:pt idx="23">
                  <c:v>65905</c:v>
                </c:pt>
                <c:pt idx="24">
                  <c:v>42647</c:v>
                </c:pt>
                <c:pt idx="25">
                  <c:v>73854</c:v>
                </c:pt>
                <c:pt idx="26">
                  <c:v>57637</c:v>
                </c:pt>
                <c:pt idx="27">
                  <c:v>68311</c:v>
                </c:pt>
                <c:pt idx="28">
                  <c:v>58244</c:v>
                </c:pt>
                <c:pt idx="29">
                  <c:v>40027</c:v>
                </c:pt>
                <c:pt idx="30">
                  <c:v>52729</c:v>
                </c:pt>
              </c:numCache>
            </c:numRef>
          </c:val>
          <c:smooth val="0"/>
          <c:extLst>
            <c:ext xmlns:c16="http://schemas.microsoft.com/office/drawing/2014/chart" uri="{C3380CC4-5D6E-409C-BE32-E72D297353CC}">
              <c16:uniqueId val="{00000000-AAFF-4B9C-AF83-A2BCAEF8CD16}"/>
            </c:ext>
          </c:extLst>
        </c:ser>
        <c:ser>
          <c:idx val="1"/>
          <c:order val="1"/>
          <c:tx>
            <c:strRef>
              <c:f>Dashboard!$M$3</c:f>
              <c:strCache>
                <c:ptCount val="1"/>
                <c:pt idx="0">
                  <c:v>Count of order_id</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50000"/>
                  </a:schemeClr>
                </a:solidFill>
                <a:round/>
              </a:ln>
              <a:effectLst>
                <a:outerShdw blurRad="57150" dist="19050" dir="5400000" algn="ctr" rotWithShape="0">
                  <a:srgbClr val="000000">
                    <a:alpha val="63000"/>
                  </a:srgbClr>
                </a:outerShdw>
              </a:effectLst>
            </c:spPr>
          </c:marker>
          <c:cat>
            <c:strRef>
              <c:f>Dashboard!$K$4:$K$35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Dashboard!$M$4:$M$35</c:f>
              <c:numCache>
                <c:formatCode>General</c:formatCode>
                <c:ptCount val="31"/>
                <c:pt idx="0">
                  <c:v>18</c:v>
                </c:pt>
                <c:pt idx="1">
                  <c:v>16</c:v>
                </c:pt>
                <c:pt idx="2">
                  <c:v>22</c:v>
                </c:pt>
                <c:pt idx="3">
                  <c:v>26</c:v>
                </c:pt>
                <c:pt idx="4">
                  <c:v>20</c:v>
                </c:pt>
                <c:pt idx="5">
                  <c:v>22</c:v>
                </c:pt>
                <c:pt idx="6">
                  <c:v>22</c:v>
                </c:pt>
                <c:pt idx="7">
                  <c:v>31</c:v>
                </c:pt>
                <c:pt idx="8">
                  <c:v>13</c:v>
                </c:pt>
                <c:pt idx="9">
                  <c:v>21</c:v>
                </c:pt>
                <c:pt idx="10">
                  <c:v>30</c:v>
                </c:pt>
                <c:pt idx="11">
                  <c:v>20</c:v>
                </c:pt>
                <c:pt idx="12">
                  <c:v>19</c:v>
                </c:pt>
                <c:pt idx="13">
                  <c:v>23</c:v>
                </c:pt>
                <c:pt idx="14">
                  <c:v>27</c:v>
                </c:pt>
                <c:pt idx="15">
                  <c:v>31</c:v>
                </c:pt>
                <c:pt idx="16">
                  <c:v>25</c:v>
                </c:pt>
                <c:pt idx="17">
                  <c:v>21</c:v>
                </c:pt>
                <c:pt idx="18">
                  <c:v>14</c:v>
                </c:pt>
                <c:pt idx="19">
                  <c:v>21</c:v>
                </c:pt>
                <c:pt idx="20">
                  <c:v>17</c:v>
                </c:pt>
                <c:pt idx="21">
                  <c:v>30</c:v>
                </c:pt>
                <c:pt idx="22">
                  <c:v>23</c:v>
                </c:pt>
                <c:pt idx="23">
                  <c:v>23</c:v>
                </c:pt>
                <c:pt idx="24">
                  <c:v>23</c:v>
                </c:pt>
                <c:pt idx="25">
                  <c:v>30</c:v>
                </c:pt>
                <c:pt idx="26">
                  <c:v>23</c:v>
                </c:pt>
                <c:pt idx="27">
                  <c:v>24</c:v>
                </c:pt>
                <c:pt idx="28">
                  <c:v>22</c:v>
                </c:pt>
                <c:pt idx="29">
                  <c:v>20</c:v>
                </c:pt>
                <c:pt idx="30">
                  <c:v>23</c:v>
                </c:pt>
              </c:numCache>
            </c:numRef>
          </c:val>
          <c:smooth val="0"/>
          <c:extLst>
            <c:ext xmlns:c16="http://schemas.microsoft.com/office/drawing/2014/chart" uri="{C3380CC4-5D6E-409C-BE32-E72D297353CC}">
              <c16:uniqueId val="{00000001-AAFF-4B9C-AF83-A2BCAEF8CD16}"/>
            </c:ext>
          </c:extLst>
        </c:ser>
        <c:dLbls>
          <c:showLegendKey val="0"/>
          <c:showVal val="0"/>
          <c:showCatName val="0"/>
          <c:showSerName val="0"/>
          <c:showPercent val="0"/>
          <c:showBubbleSize val="0"/>
        </c:dLbls>
        <c:marker val="1"/>
        <c:smooth val="0"/>
        <c:axId val="413478032"/>
        <c:axId val="413472752"/>
      </c:lineChart>
      <c:catAx>
        <c:axId val="413478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72752"/>
        <c:crosses val="autoZero"/>
        <c:auto val="1"/>
        <c:lblAlgn val="ctr"/>
        <c:lblOffset val="100"/>
        <c:noMultiLvlLbl val="0"/>
      </c:catAx>
      <c:valAx>
        <c:axId val="41347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78032"/>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of cosmectics brand.xlsx]Dashboard!PivotTable5</c:name>
    <c:fmtId val="4"/>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Dashboard!$P$3</c:f>
              <c:strCache>
                <c:ptCount val="1"/>
                <c:pt idx="0">
                  <c:v>Sum of amount</c:v>
                </c:pt>
              </c:strCache>
            </c:strRef>
          </c:tx>
          <c:spPr>
            <a:solidFill>
              <a:schemeClr val="accent2">
                <a:lumMod val="50000"/>
              </a:schemeClr>
            </a:solidFill>
            <a:ln>
              <a:noFill/>
            </a:ln>
            <a:effectLst/>
          </c:spPr>
          <c:invertIfNegative val="0"/>
          <c:cat>
            <c:strRef>
              <c:f>Dashboard!$O$4:$O$8</c:f>
              <c:strCache>
                <c:ptCount val="4"/>
                <c:pt idx="0">
                  <c:v>Cancelled</c:v>
                </c:pt>
                <c:pt idx="1">
                  <c:v>Delivered</c:v>
                </c:pt>
                <c:pt idx="2">
                  <c:v>In Transit</c:v>
                </c:pt>
                <c:pt idx="3">
                  <c:v>Returned</c:v>
                </c:pt>
              </c:strCache>
            </c:strRef>
          </c:cat>
          <c:val>
            <c:numRef>
              <c:f>Dashboard!$P$4:$P$8</c:f>
              <c:numCache>
                <c:formatCode>General</c:formatCode>
                <c:ptCount val="4"/>
                <c:pt idx="0">
                  <c:v>465254</c:v>
                </c:pt>
                <c:pt idx="1">
                  <c:v>351761</c:v>
                </c:pt>
                <c:pt idx="2">
                  <c:v>493852</c:v>
                </c:pt>
                <c:pt idx="3">
                  <c:v>450416</c:v>
                </c:pt>
              </c:numCache>
            </c:numRef>
          </c:val>
          <c:extLst>
            <c:ext xmlns:c16="http://schemas.microsoft.com/office/drawing/2014/chart" uri="{C3380CC4-5D6E-409C-BE32-E72D297353CC}">
              <c16:uniqueId val="{00000000-40A0-448C-A182-BBDF5AE2E708}"/>
            </c:ext>
          </c:extLst>
        </c:ser>
        <c:ser>
          <c:idx val="1"/>
          <c:order val="1"/>
          <c:tx>
            <c:strRef>
              <c:f>Dashboard!$Q$3</c:f>
              <c:strCache>
                <c:ptCount val="1"/>
                <c:pt idx="0">
                  <c:v>Count of order_id</c:v>
                </c:pt>
              </c:strCache>
            </c:strRef>
          </c:tx>
          <c:spPr>
            <a:solidFill>
              <a:schemeClr val="accent2"/>
            </a:solidFill>
            <a:ln>
              <a:noFill/>
            </a:ln>
            <a:effectLst/>
          </c:spPr>
          <c:invertIfNegative val="0"/>
          <c:cat>
            <c:strRef>
              <c:f>Dashboard!$O$4:$O$8</c:f>
              <c:strCache>
                <c:ptCount val="4"/>
                <c:pt idx="0">
                  <c:v>Cancelled</c:v>
                </c:pt>
                <c:pt idx="1">
                  <c:v>Delivered</c:v>
                </c:pt>
                <c:pt idx="2">
                  <c:v>In Transit</c:v>
                </c:pt>
                <c:pt idx="3">
                  <c:v>Returned</c:v>
                </c:pt>
              </c:strCache>
            </c:strRef>
          </c:cat>
          <c:val>
            <c:numRef>
              <c:f>Dashboard!$Q$4:$Q$8</c:f>
              <c:numCache>
                <c:formatCode>General</c:formatCode>
                <c:ptCount val="4"/>
                <c:pt idx="0">
                  <c:v>184</c:v>
                </c:pt>
                <c:pt idx="1">
                  <c:v>158</c:v>
                </c:pt>
                <c:pt idx="2">
                  <c:v>192</c:v>
                </c:pt>
                <c:pt idx="3">
                  <c:v>166</c:v>
                </c:pt>
              </c:numCache>
            </c:numRef>
          </c:val>
          <c:extLst>
            <c:ext xmlns:c16="http://schemas.microsoft.com/office/drawing/2014/chart" uri="{C3380CC4-5D6E-409C-BE32-E72D297353CC}">
              <c16:uniqueId val="{00000001-40A0-448C-A182-BBDF5AE2E708}"/>
            </c:ext>
          </c:extLst>
        </c:ser>
        <c:dLbls>
          <c:showLegendKey val="0"/>
          <c:showVal val="0"/>
          <c:showCatName val="0"/>
          <c:showSerName val="0"/>
          <c:showPercent val="0"/>
          <c:showBubbleSize val="0"/>
        </c:dLbls>
        <c:gapWidth val="182"/>
        <c:axId val="1914559216"/>
        <c:axId val="1914557296"/>
      </c:barChart>
      <c:catAx>
        <c:axId val="191455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57296"/>
        <c:crosses val="autoZero"/>
        <c:auto val="1"/>
        <c:lblAlgn val="ctr"/>
        <c:lblOffset val="100"/>
        <c:noMultiLvlLbl val="0"/>
      </c:catAx>
      <c:valAx>
        <c:axId val="19145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5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5">
  <a:schemeClr val="accent2"/>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 id="15">
  <a:schemeClr val="accent2"/>
</cs:colorStyle>
</file>

<file path=xl/charts/colors39.xml><?xml version="1.0" encoding="utf-8"?>
<cs:colorStyle xmlns:cs="http://schemas.microsoft.com/office/drawing/2012/chartStyle" xmlns:a="http://schemas.openxmlformats.org/drawingml/2006/main" meth="withinLinear" id="15">
  <a:schemeClr val="accent2"/>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Nykaa!A1"/><Relationship Id="rId13" Type="http://schemas.openxmlformats.org/officeDocument/2006/relationships/chart" Target="../charts/chart3.xml"/><Relationship Id="rId3" Type="http://schemas.openxmlformats.org/officeDocument/2006/relationships/hyperlink" Target="https://www.pngall.com/saloon-png/" TargetMode="External"/><Relationship Id="rId7" Type="http://schemas.openxmlformats.org/officeDocument/2006/relationships/image" Target="../media/image3.jpeg"/><Relationship Id="rId12"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hyperlink" Target="#'Final Dashboard'!A1"/><Relationship Id="rId6" Type="http://schemas.openxmlformats.org/officeDocument/2006/relationships/hyperlink" Target="#Sugar!A1"/><Relationship Id="rId11" Type="http://schemas.openxmlformats.org/officeDocument/2006/relationships/chart" Target="../charts/chart1.xml"/><Relationship Id="rId5" Type="http://schemas.openxmlformats.org/officeDocument/2006/relationships/image" Target="../media/image2.png"/><Relationship Id="rId15" Type="http://schemas.openxmlformats.org/officeDocument/2006/relationships/chart" Target="../charts/chart5.xml"/><Relationship Id="rId10" Type="http://schemas.microsoft.com/office/2007/relationships/hdphoto" Target="../media/hdphoto1.wdp"/><Relationship Id="rId4" Type="http://schemas.openxmlformats.org/officeDocument/2006/relationships/hyperlink" Target="#Lakme!A1"/><Relationship Id="rId9" Type="http://schemas.openxmlformats.org/officeDocument/2006/relationships/image" Target="../media/image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Nykaa!A1"/><Relationship Id="rId13" Type="http://schemas.openxmlformats.org/officeDocument/2006/relationships/chart" Target="../charts/chart8.xml"/><Relationship Id="rId3" Type="http://schemas.openxmlformats.org/officeDocument/2006/relationships/hyperlink" Target="https://www.pngall.com/saloon-png/" TargetMode="External"/><Relationship Id="rId7" Type="http://schemas.openxmlformats.org/officeDocument/2006/relationships/image" Target="../media/image5.jpeg"/><Relationship Id="rId12"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Final Dashboard'!A1"/><Relationship Id="rId6" Type="http://schemas.openxmlformats.org/officeDocument/2006/relationships/hyperlink" Target="#Sugar!A1"/><Relationship Id="rId11" Type="http://schemas.openxmlformats.org/officeDocument/2006/relationships/chart" Target="../charts/chart6.xml"/><Relationship Id="rId5" Type="http://schemas.openxmlformats.org/officeDocument/2006/relationships/image" Target="../media/image2.png"/><Relationship Id="rId15" Type="http://schemas.openxmlformats.org/officeDocument/2006/relationships/chart" Target="../charts/chart10.xml"/><Relationship Id="rId10" Type="http://schemas.microsoft.com/office/2007/relationships/hdphoto" Target="../media/hdphoto1.wdp"/><Relationship Id="rId4" Type="http://schemas.openxmlformats.org/officeDocument/2006/relationships/hyperlink" Target="#Lakme!A1"/><Relationship Id="rId9" Type="http://schemas.openxmlformats.org/officeDocument/2006/relationships/image" Target="../media/image4.png"/><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hyperlink" Target="#Nykaa!A1"/><Relationship Id="rId13" Type="http://schemas.openxmlformats.org/officeDocument/2006/relationships/chart" Target="../charts/chart13.xml"/><Relationship Id="rId3" Type="http://schemas.openxmlformats.org/officeDocument/2006/relationships/hyperlink" Target="https://www.pngall.com/saloon-png/" TargetMode="External"/><Relationship Id="rId7" Type="http://schemas.openxmlformats.org/officeDocument/2006/relationships/image" Target="../media/image5.jpeg"/><Relationship Id="rId12"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hyperlink" Target="#'Final Dashboard'!A1"/><Relationship Id="rId6" Type="http://schemas.openxmlformats.org/officeDocument/2006/relationships/hyperlink" Target="#Sugar!A1"/><Relationship Id="rId11" Type="http://schemas.openxmlformats.org/officeDocument/2006/relationships/chart" Target="../charts/chart11.xml"/><Relationship Id="rId5" Type="http://schemas.openxmlformats.org/officeDocument/2006/relationships/image" Target="../media/image2.png"/><Relationship Id="rId15" Type="http://schemas.openxmlformats.org/officeDocument/2006/relationships/chart" Target="../charts/chart15.xml"/><Relationship Id="rId10" Type="http://schemas.microsoft.com/office/2007/relationships/hdphoto" Target="../media/hdphoto1.wdp"/><Relationship Id="rId4" Type="http://schemas.openxmlformats.org/officeDocument/2006/relationships/hyperlink" Target="#Lakme!A1"/><Relationship Id="rId9" Type="http://schemas.openxmlformats.org/officeDocument/2006/relationships/image" Target="../media/image4.png"/><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hyperlink" Target="#Nykaa!A1"/><Relationship Id="rId13" Type="http://schemas.openxmlformats.org/officeDocument/2006/relationships/chart" Target="../charts/chart18.xml"/><Relationship Id="rId3" Type="http://schemas.openxmlformats.org/officeDocument/2006/relationships/hyperlink" Target="https://www.pngall.com/saloon-png/" TargetMode="External"/><Relationship Id="rId7" Type="http://schemas.openxmlformats.org/officeDocument/2006/relationships/image" Target="../media/image6.jpeg"/><Relationship Id="rId12" Type="http://schemas.openxmlformats.org/officeDocument/2006/relationships/chart" Target="../charts/chart17.xml"/><Relationship Id="rId2" Type="http://schemas.openxmlformats.org/officeDocument/2006/relationships/image" Target="../media/image1.png"/><Relationship Id="rId1" Type="http://schemas.openxmlformats.org/officeDocument/2006/relationships/hyperlink" Target="#'Final Dashboard'!A1"/><Relationship Id="rId6" Type="http://schemas.openxmlformats.org/officeDocument/2006/relationships/hyperlink" Target="#Sugar!A1"/><Relationship Id="rId11" Type="http://schemas.openxmlformats.org/officeDocument/2006/relationships/chart" Target="../charts/chart16.xml"/><Relationship Id="rId5" Type="http://schemas.openxmlformats.org/officeDocument/2006/relationships/image" Target="../media/image2.png"/><Relationship Id="rId15" Type="http://schemas.openxmlformats.org/officeDocument/2006/relationships/chart" Target="../charts/chart20.xml"/><Relationship Id="rId10" Type="http://schemas.microsoft.com/office/2007/relationships/hdphoto" Target="../media/hdphoto1.wdp"/><Relationship Id="rId4" Type="http://schemas.openxmlformats.org/officeDocument/2006/relationships/hyperlink" Target="#Lakme!A1"/><Relationship Id="rId9" Type="http://schemas.openxmlformats.org/officeDocument/2006/relationships/image" Target="../media/image4.png"/><Relationship Id="rId1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5" Type="http://schemas.openxmlformats.org/officeDocument/2006/relationships/chart" Target="../charts/chart40.xml"/><Relationship Id="rId4"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605424</xdr:colOff>
      <xdr:row>66</xdr:row>
      <xdr:rowOff>177451</xdr:rowOff>
    </xdr:to>
    <xdr:sp macro="" textlink="">
      <xdr:nvSpPr>
        <xdr:cNvPr id="2" name="Rectangle 1">
          <a:extLst>
            <a:ext uri="{FF2B5EF4-FFF2-40B4-BE49-F238E27FC236}">
              <a16:creationId xmlns:a16="http://schemas.microsoft.com/office/drawing/2014/main" id="{3523D12E-CB5A-476A-AAE9-B287F36FFEC8}"/>
            </a:ext>
          </a:extLst>
        </xdr:cNvPr>
        <xdr:cNvSpPr/>
      </xdr:nvSpPr>
      <xdr:spPr>
        <a:xfrm>
          <a:off x="0" y="0"/>
          <a:ext cx="19373588" cy="1257821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53341</xdr:colOff>
      <xdr:row>0</xdr:row>
      <xdr:rowOff>38101</xdr:rowOff>
    </xdr:from>
    <xdr:to>
      <xdr:col>8</xdr:col>
      <xdr:colOff>250521</xdr:colOff>
      <xdr:row>3</xdr:row>
      <xdr:rowOff>121921</xdr:rowOff>
    </xdr:to>
    <xdr:sp macro="" textlink="">
      <xdr:nvSpPr>
        <xdr:cNvPr id="3" name="Flowchart: Alternate Process 2">
          <a:hlinkClick xmlns:r="http://schemas.openxmlformats.org/officeDocument/2006/relationships" r:id="rId1"/>
          <a:extLst>
            <a:ext uri="{FF2B5EF4-FFF2-40B4-BE49-F238E27FC236}">
              <a16:creationId xmlns:a16="http://schemas.microsoft.com/office/drawing/2014/main" id="{58D31C3E-49E0-4FFB-95B8-61411EBA6DA2}"/>
            </a:ext>
          </a:extLst>
        </xdr:cNvPr>
        <xdr:cNvSpPr/>
      </xdr:nvSpPr>
      <xdr:spPr>
        <a:xfrm>
          <a:off x="53341" y="38101"/>
          <a:ext cx="5040577" cy="647491"/>
        </a:xfrm>
        <a:prstGeom prst="flowChartAlternateProcess">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bg1"/>
              </a:solidFill>
            </a:rPr>
            <a:t>        SALES</a:t>
          </a:r>
          <a:r>
            <a:rPr lang="en-IN" sz="3600" b="1" baseline="0">
              <a:solidFill>
                <a:schemeClr val="tx1"/>
              </a:solidFill>
            </a:rPr>
            <a:t> </a:t>
          </a:r>
          <a:r>
            <a:rPr lang="en-IN" sz="3600" b="1" baseline="0">
              <a:solidFill>
                <a:schemeClr val="bg1"/>
              </a:solidFill>
            </a:rPr>
            <a:t>DASHBOARD </a:t>
          </a:r>
        </a:p>
      </xdr:txBody>
    </xdr:sp>
    <xdr:clientData/>
  </xdr:twoCellAnchor>
  <xdr:twoCellAnchor>
    <xdr:from>
      <xdr:col>0</xdr:col>
      <xdr:colOff>271450</xdr:colOff>
      <xdr:row>0</xdr:row>
      <xdr:rowOff>76201</xdr:rowOff>
    </xdr:from>
    <xdr:to>
      <xdr:col>1</xdr:col>
      <xdr:colOff>292733</xdr:colOff>
      <xdr:row>3</xdr:row>
      <xdr:rowOff>99060</xdr:rowOff>
    </xdr:to>
    <xdr:pic>
      <xdr:nvPicPr>
        <xdr:cNvPr id="4" name="Picture 3">
          <a:extLst>
            <a:ext uri="{FF2B5EF4-FFF2-40B4-BE49-F238E27FC236}">
              <a16:creationId xmlns:a16="http://schemas.microsoft.com/office/drawing/2014/main" id="{DE86C078-4B6B-4B09-A71D-EF48AF13956D}"/>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71450" y="76201"/>
          <a:ext cx="630883" cy="5714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8</xdr:col>
      <xdr:colOff>526511</xdr:colOff>
      <xdr:row>0</xdr:row>
      <xdr:rowOff>79854</xdr:rowOff>
    </xdr:from>
    <xdr:to>
      <xdr:col>13</xdr:col>
      <xdr:colOff>266102</xdr:colOff>
      <xdr:row>3</xdr:row>
      <xdr:rowOff>125573</xdr:rowOff>
    </xdr:to>
    <xdr:pic>
      <xdr:nvPicPr>
        <xdr:cNvPr id="5" name="Picture 4">
          <a:hlinkClick xmlns:r="http://schemas.openxmlformats.org/officeDocument/2006/relationships" r:id="rId4"/>
          <a:extLst>
            <a:ext uri="{FF2B5EF4-FFF2-40B4-BE49-F238E27FC236}">
              <a16:creationId xmlns:a16="http://schemas.microsoft.com/office/drawing/2014/main" id="{4CAB4B55-585A-450D-B8B6-E383E442D596}"/>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369908" y="79854"/>
          <a:ext cx="2766715" cy="60939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13</xdr:col>
      <xdr:colOff>430391</xdr:colOff>
      <xdr:row>0</xdr:row>
      <xdr:rowOff>111751</xdr:rowOff>
    </xdr:from>
    <xdr:to>
      <xdr:col>17</xdr:col>
      <xdr:colOff>261000</xdr:colOff>
      <xdr:row>3</xdr:row>
      <xdr:rowOff>147883</xdr:rowOff>
    </xdr:to>
    <xdr:pic>
      <xdr:nvPicPr>
        <xdr:cNvPr id="6" name="Picture 5">
          <a:hlinkClick xmlns:r="http://schemas.openxmlformats.org/officeDocument/2006/relationships" r:id="rId6"/>
          <a:extLst>
            <a:ext uri="{FF2B5EF4-FFF2-40B4-BE49-F238E27FC236}">
              <a16:creationId xmlns:a16="http://schemas.microsoft.com/office/drawing/2014/main" id="{DDC2E11A-9022-4869-982A-C2388613F853}"/>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300912" y="111751"/>
          <a:ext cx="2252307" cy="59980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17</xdr:col>
      <xdr:colOff>394986</xdr:colOff>
      <xdr:row>0</xdr:row>
      <xdr:rowOff>122188</xdr:rowOff>
    </xdr:from>
    <xdr:to>
      <xdr:col>22</xdr:col>
      <xdr:colOff>71079</xdr:colOff>
      <xdr:row>3</xdr:row>
      <xdr:rowOff>177493</xdr:rowOff>
    </xdr:to>
    <xdr:pic>
      <xdr:nvPicPr>
        <xdr:cNvPr id="7" name="Picture 6">
          <a:hlinkClick xmlns:r="http://schemas.openxmlformats.org/officeDocument/2006/relationships" r:id="rId8"/>
          <a:extLst>
            <a:ext uri="{FF2B5EF4-FFF2-40B4-BE49-F238E27FC236}">
              <a16:creationId xmlns:a16="http://schemas.microsoft.com/office/drawing/2014/main" id="{50A5A0F3-703A-40F4-9327-118FBBD6A9F9}"/>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extLst>
            <a:ext uri="{BEBA8EAE-BF5A-486C-A8C5-ECC9F3942E4B}">
              <a14:imgProps xmlns:a14="http://schemas.microsoft.com/office/drawing/2010/main">
                <a14:imgLayer r:embed="rId10">
                  <a14:imgEffect>
                    <a14:colorTemperature colorTemp="112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10687205" y="122188"/>
          <a:ext cx="2703216" cy="6189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28</xdr:col>
      <xdr:colOff>413929</xdr:colOff>
      <xdr:row>30</xdr:row>
      <xdr:rowOff>56471</xdr:rowOff>
    </xdr:from>
    <xdr:to>
      <xdr:col>31</xdr:col>
      <xdr:colOff>413929</xdr:colOff>
      <xdr:row>66</xdr:row>
      <xdr:rowOff>10438</xdr:rowOff>
    </xdr:to>
    <mc:AlternateContent xmlns:mc="http://schemas.openxmlformats.org/markup-compatibility/2006" xmlns:a14="http://schemas.microsoft.com/office/drawing/2010/main">
      <mc:Choice Requires="a14">
        <xdr:graphicFrame macro="">
          <xdr:nvGraphicFramePr>
            <xdr:cNvPr id="8" name="month 2">
              <a:extLst>
                <a:ext uri="{FF2B5EF4-FFF2-40B4-BE49-F238E27FC236}">
                  <a16:creationId xmlns:a16="http://schemas.microsoft.com/office/drawing/2014/main" id="{D949664F-F2A0-453D-B8B9-1C2C01E14A2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7425064" y="5617012"/>
              <a:ext cx="1822622" cy="6626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367881</xdr:colOff>
      <xdr:row>4</xdr:row>
      <xdr:rowOff>142484</xdr:rowOff>
    </xdr:from>
    <xdr:to>
      <xdr:col>31</xdr:col>
      <xdr:colOff>247318</xdr:colOff>
      <xdr:row>15</xdr:row>
      <xdr:rowOff>93945</xdr:rowOff>
    </xdr:to>
    <mc:AlternateContent xmlns:mc="http://schemas.openxmlformats.org/markup-compatibility/2006" xmlns:a14="http://schemas.microsoft.com/office/drawing/2010/main">
      <mc:Choice Requires="a14">
        <xdr:graphicFrame macro="">
          <xdr:nvGraphicFramePr>
            <xdr:cNvPr id="9" name="seller 2">
              <a:extLst>
                <a:ext uri="{FF2B5EF4-FFF2-40B4-BE49-F238E27FC236}">
                  <a16:creationId xmlns:a16="http://schemas.microsoft.com/office/drawing/2014/main" id="{96A3F384-5716-4480-8C5F-DB2B3BA6817D}"/>
                </a:ext>
              </a:extLst>
            </xdr:cNvPr>
            <xdr:cNvGraphicFramePr/>
          </xdr:nvGraphicFramePr>
          <xdr:xfrm>
            <a:off x="0" y="0"/>
            <a:ext cx="0" cy="0"/>
          </xdr:xfrm>
          <a:graphic>
            <a:graphicData uri="http://schemas.microsoft.com/office/drawing/2010/slicer">
              <sle:slicer xmlns:sle="http://schemas.microsoft.com/office/drawing/2010/slicer" name="seller 2"/>
            </a:graphicData>
          </a:graphic>
        </xdr:graphicFrame>
      </mc:Choice>
      <mc:Fallback xmlns="">
        <xdr:sp macro="" textlink="">
          <xdr:nvSpPr>
            <xdr:cNvPr id="0" name=""/>
            <xdr:cNvSpPr>
              <a:spLocks noTextEdit="1"/>
            </xdr:cNvSpPr>
          </xdr:nvSpPr>
          <xdr:spPr>
            <a:xfrm>
              <a:off x="17379016" y="883889"/>
              <a:ext cx="1702059" cy="1990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465655</xdr:colOff>
      <xdr:row>4</xdr:row>
      <xdr:rowOff>52192</xdr:rowOff>
    </xdr:from>
    <xdr:to>
      <xdr:col>5</xdr:col>
      <xdr:colOff>465655</xdr:colOff>
      <xdr:row>66</xdr:row>
      <xdr:rowOff>1</xdr:rowOff>
    </xdr:to>
    <mc:AlternateContent xmlns:mc="http://schemas.openxmlformats.org/markup-compatibility/2006" xmlns:a14="http://schemas.microsoft.com/office/drawing/2010/main">
      <mc:Choice Requires="a14">
        <xdr:graphicFrame macro="">
          <xdr:nvGraphicFramePr>
            <xdr:cNvPr id="10" name="product 2">
              <a:extLst>
                <a:ext uri="{FF2B5EF4-FFF2-40B4-BE49-F238E27FC236}">
                  <a16:creationId xmlns:a16="http://schemas.microsoft.com/office/drawing/2014/main" id="{7D5C77AB-9CB8-47FA-8510-4978B8CC16B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676504" y="803754"/>
              <a:ext cx="1816274" cy="1159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104384</xdr:colOff>
      <xdr:row>43</xdr:row>
      <xdr:rowOff>31316</xdr:rowOff>
    </xdr:from>
    <xdr:to>
      <xdr:col>2</xdr:col>
      <xdr:colOff>371084</xdr:colOff>
      <xdr:row>66</xdr:row>
      <xdr:rowOff>10439</xdr:rowOff>
    </xdr:to>
    <mc:AlternateContent xmlns:mc="http://schemas.openxmlformats.org/markup-compatibility/2006" xmlns:a14="http://schemas.microsoft.com/office/drawing/2010/main">
      <mc:Choice Requires="a14">
        <xdr:graphicFrame macro="">
          <xdr:nvGraphicFramePr>
            <xdr:cNvPr id="11" name="payment_mode 2">
              <a:extLst>
                <a:ext uri="{FF2B5EF4-FFF2-40B4-BE49-F238E27FC236}">
                  <a16:creationId xmlns:a16="http://schemas.microsoft.com/office/drawing/2014/main" id="{B23D4FBC-41AF-4CDB-AED2-23C2B8677416}"/>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104384" y="8110604"/>
              <a:ext cx="1477549" cy="430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4</xdr:row>
      <xdr:rowOff>38098</xdr:rowOff>
    </xdr:from>
    <xdr:to>
      <xdr:col>2</xdr:col>
      <xdr:colOff>327660</xdr:colOff>
      <xdr:row>42</xdr:row>
      <xdr:rowOff>0</xdr:rowOff>
    </xdr:to>
    <mc:AlternateContent xmlns:mc="http://schemas.openxmlformats.org/markup-compatibility/2006" xmlns:a14="http://schemas.microsoft.com/office/drawing/2010/main">
      <mc:Choice Requires="a14">
        <xdr:graphicFrame macro="">
          <xdr:nvGraphicFramePr>
            <xdr:cNvPr id="12" name="customer_location 2">
              <a:extLst>
                <a:ext uri="{FF2B5EF4-FFF2-40B4-BE49-F238E27FC236}">
                  <a16:creationId xmlns:a16="http://schemas.microsoft.com/office/drawing/2014/main" id="{228127A4-72E8-4E29-BC16-8B26A668A949}"/>
                </a:ext>
              </a:extLst>
            </xdr:cNvPr>
            <xdr:cNvGraphicFramePr/>
          </xdr:nvGraphicFramePr>
          <xdr:xfrm>
            <a:off x="0" y="0"/>
            <a:ext cx="0" cy="0"/>
          </xdr:xfrm>
          <a:graphic>
            <a:graphicData uri="http://schemas.microsoft.com/office/drawing/2010/slicer">
              <sle:slicer xmlns:sle="http://schemas.microsoft.com/office/drawing/2010/slicer" name="customer_location 2"/>
            </a:graphicData>
          </a:graphic>
        </xdr:graphicFrame>
      </mc:Choice>
      <mc:Fallback xmlns="">
        <xdr:sp macro="" textlink="">
          <xdr:nvSpPr>
            <xdr:cNvPr id="0" name=""/>
            <xdr:cNvSpPr>
              <a:spLocks noTextEdit="1"/>
            </xdr:cNvSpPr>
          </xdr:nvSpPr>
          <xdr:spPr>
            <a:xfrm>
              <a:off x="53340" y="789660"/>
              <a:ext cx="1485169" cy="710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362449</xdr:colOff>
      <xdr:row>15</xdr:row>
      <xdr:rowOff>155328</xdr:rowOff>
    </xdr:from>
    <xdr:to>
      <xdr:col>31</xdr:col>
      <xdr:colOff>362449</xdr:colOff>
      <xdr:row>29</xdr:row>
      <xdr:rowOff>56972</xdr:rowOff>
    </xdr:to>
    <mc:AlternateContent xmlns:mc="http://schemas.openxmlformats.org/markup-compatibility/2006" xmlns:a14="http://schemas.microsoft.com/office/drawing/2010/main">
      <mc:Choice Requires="a14">
        <xdr:graphicFrame macro="">
          <xdr:nvGraphicFramePr>
            <xdr:cNvPr id="13" name="delivery_status 2">
              <a:extLst>
                <a:ext uri="{FF2B5EF4-FFF2-40B4-BE49-F238E27FC236}">
                  <a16:creationId xmlns:a16="http://schemas.microsoft.com/office/drawing/2014/main" id="{A30A8C81-C7E4-4E7D-BB15-BEBD359FB67F}"/>
                </a:ext>
              </a:extLst>
            </xdr:cNvPr>
            <xdr:cNvGraphicFramePr/>
          </xdr:nvGraphicFramePr>
          <xdr:xfrm>
            <a:off x="0" y="0"/>
            <a:ext cx="0" cy="0"/>
          </xdr:xfrm>
          <a:graphic>
            <a:graphicData uri="http://schemas.microsoft.com/office/drawing/2010/slicer">
              <sle:slicer xmlns:sle="http://schemas.microsoft.com/office/drawing/2010/slicer" name="delivery_status 2"/>
            </a:graphicData>
          </a:graphic>
        </xdr:graphicFrame>
      </mc:Choice>
      <mc:Fallback xmlns="">
        <xdr:sp macro="" textlink="">
          <xdr:nvSpPr>
            <xdr:cNvPr id="0" name=""/>
            <xdr:cNvSpPr>
              <a:spLocks noTextEdit="1"/>
            </xdr:cNvSpPr>
          </xdr:nvSpPr>
          <xdr:spPr>
            <a:xfrm>
              <a:off x="17373584" y="2935598"/>
              <a:ext cx="1822622" cy="2496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365341</xdr:colOff>
      <xdr:row>4</xdr:row>
      <xdr:rowOff>73067</xdr:rowOff>
    </xdr:from>
    <xdr:to>
      <xdr:col>15</xdr:col>
      <xdr:colOff>41752</xdr:colOff>
      <xdr:row>23</xdr:row>
      <xdr:rowOff>167014</xdr:rowOff>
    </xdr:to>
    <xdr:graphicFrame macro="">
      <xdr:nvGraphicFramePr>
        <xdr:cNvPr id="14" name="Chart 13">
          <a:extLst>
            <a:ext uri="{FF2B5EF4-FFF2-40B4-BE49-F238E27FC236}">
              <a16:creationId xmlns:a16="http://schemas.microsoft.com/office/drawing/2014/main" id="{35A67977-2F81-42D3-B11A-C2FA26859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114821</xdr:colOff>
      <xdr:row>25</xdr:row>
      <xdr:rowOff>62631</xdr:rowOff>
    </xdr:from>
    <xdr:to>
      <xdr:col>14</xdr:col>
      <xdr:colOff>511480</xdr:colOff>
      <xdr:row>44</xdr:row>
      <xdr:rowOff>20877</xdr:rowOff>
    </xdr:to>
    <xdr:graphicFrame macro="">
      <xdr:nvGraphicFramePr>
        <xdr:cNvPr id="15" name="Chart 14">
          <a:extLst>
            <a:ext uri="{FF2B5EF4-FFF2-40B4-BE49-F238E27FC236}">
              <a16:creationId xmlns:a16="http://schemas.microsoft.com/office/drawing/2014/main" id="{66FD7342-28EC-4082-819E-A1749B4E7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140187</xdr:colOff>
      <xdr:row>25</xdr:row>
      <xdr:rowOff>41754</xdr:rowOff>
    </xdr:from>
    <xdr:to>
      <xdr:col>28</xdr:col>
      <xdr:colOff>354905</xdr:colOff>
      <xdr:row>44</xdr:row>
      <xdr:rowOff>0</xdr:rowOff>
    </xdr:to>
    <xdr:graphicFrame macro="">
      <xdr:nvGraphicFramePr>
        <xdr:cNvPr id="16" name="Chart 15">
          <a:extLst>
            <a:ext uri="{FF2B5EF4-FFF2-40B4-BE49-F238E27FC236}">
              <a16:creationId xmlns:a16="http://schemas.microsoft.com/office/drawing/2014/main" id="{664013D0-3704-44F0-A523-CC4100D31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71189</xdr:colOff>
      <xdr:row>46</xdr:row>
      <xdr:rowOff>146137</xdr:rowOff>
    </xdr:from>
    <xdr:to>
      <xdr:col>28</xdr:col>
      <xdr:colOff>302713</xdr:colOff>
      <xdr:row>66</xdr:row>
      <xdr:rowOff>116648</xdr:rowOff>
    </xdr:to>
    <xdr:graphicFrame macro="">
      <xdr:nvGraphicFramePr>
        <xdr:cNvPr id="17" name="Chart 16">
          <a:extLst>
            <a:ext uri="{FF2B5EF4-FFF2-40B4-BE49-F238E27FC236}">
              <a16:creationId xmlns:a16="http://schemas.microsoft.com/office/drawing/2014/main" id="{5F39DD5D-2785-40D6-9559-AB194C982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211794</xdr:colOff>
      <xdr:row>4</xdr:row>
      <xdr:rowOff>70509</xdr:rowOff>
    </xdr:from>
    <xdr:to>
      <xdr:col>28</xdr:col>
      <xdr:colOff>334028</xdr:colOff>
      <xdr:row>23</xdr:row>
      <xdr:rowOff>177454</xdr:rowOff>
    </xdr:to>
    <xdr:graphicFrame macro="">
      <xdr:nvGraphicFramePr>
        <xdr:cNvPr id="18" name="Chart 17">
          <a:extLst>
            <a:ext uri="{FF2B5EF4-FFF2-40B4-BE49-F238E27FC236}">
              <a16:creationId xmlns:a16="http://schemas.microsoft.com/office/drawing/2014/main" id="{A4312BDB-BA40-4F8A-8051-569BC4D2F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605424</xdr:colOff>
      <xdr:row>66</xdr:row>
      <xdr:rowOff>177451</xdr:rowOff>
    </xdr:to>
    <xdr:sp macro="" textlink="">
      <xdr:nvSpPr>
        <xdr:cNvPr id="2" name="Rectangle 1">
          <a:extLst>
            <a:ext uri="{FF2B5EF4-FFF2-40B4-BE49-F238E27FC236}">
              <a16:creationId xmlns:a16="http://schemas.microsoft.com/office/drawing/2014/main" id="{32B8C00D-C2A4-4654-AAF5-A18CCF983EFB}"/>
            </a:ext>
          </a:extLst>
        </xdr:cNvPr>
        <xdr:cNvSpPr/>
      </xdr:nvSpPr>
      <xdr:spPr>
        <a:xfrm>
          <a:off x="0" y="0"/>
          <a:ext cx="19503024" cy="12247531"/>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53341</xdr:colOff>
      <xdr:row>0</xdr:row>
      <xdr:rowOff>38101</xdr:rowOff>
    </xdr:from>
    <xdr:to>
      <xdr:col>8</xdr:col>
      <xdr:colOff>313151</xdr:colOff>
      <xdr:row>3</xdr:row>
      <xdr:rowOff>121921</xdr:rowOff>
    </xdr:to>
    <xdr:sp macro="" textlink="">
      <xdr:nvSpPr>
        <xdr:cNvPr id="3" name="Flowchart: Alternate Process 2">
          <a:hlinkClick xmlns:r="http://schemas.openxmlformats.org/officeDocument/2006/relationships" r:id="rId1"/>
          <a:extLst>
            <a:ext uri="{FF2B5EF4-FFF2-40B4-BE49-F238E27FC236}">
              <a16:creationId xmlns:a16="http://schemas.microsoft.com/office/drawing/2014/main" id="{432AD20E-9E12-4FB3-BE78-EBDD52A7E914}"/>
            </a:ext>
          </a:extLst>
        </xdr:cNvPr>
        <xdr:cNvSpPr/>
      </xdr:nvSpPr>
      <xdr:spPr>
        <a:xfrm>
          <a:off x="53341" y="38101"/>
          <a:ext cx="5103207" cy="647491"/>
        </a:xfrm>
        <a:prstGeom prst="flowChartAlternateProcess">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bg1"/>
              </a:solidFill>
            </a:rPr>
            <a:t>        SALES DASHBOARD DASHBOARD</a:t>
          </a:r>
          <a:r>
            <a:rPr lang="en-IN" sz="3600" b="1" baseline="0">
              <a:solidFill>
                <a:schemeClr val="tx1"/>
              </a:solidFill>
            </a:rPr>
            <a:t> </a:t>
          </a:r>
          <a:r>
            <a:rPr lang="en-IN" sz="3600" b="1" baseline="0">
              <a:solidFill>
                <a:schemeClr val="bg1"/>
              </a:solidFill>
            </a:rPr>
            <a:t>DASHBOARD </a:t>
          </a:r>
        </a:p>
      </xdr:txBody>
    </xdr:sp>
    <xdr:clientData/>
  </xdr:twoCellAnchor>
  <xdr:twoCellAnchor>
    <xdr:from>
      <xdr:col>0</xdr:col>
      <xdr:colOff>271450</xdr:colOff>
      <xdr:row>0</xdr:row>
      <xdr:rowOff>76201</xdr:rowOff>
    </xdr:from>
    <xdr:to>
      <xdr:col>1</xdr:col>
      <xdr:colOff>292733</xdr:colOff>
      <xdr:row>3</xdr:row>
      <xdr:rowOff>99060</xdr:rowOff>
    </xdr:to>
    <xdr:pic>
      <xdr:nvPicPr>
        <xdr:cNvPr id="4" name="Picture 3">
          <a:extLst>
            <a:ext uri="{FF2B5EF4-FFF2-40B4-BE49-F238E27FC236}">
              <a16:creationId xmlns:a16="http://schemas.microsoft.com/office/drawing/2014/main" id="{2FEF1522-2692-4773-89A5-673C4F253B3E}"/>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71450" y="76201"/>
          <a:ext cx="630883" cy="5714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9</xdr:col>
      <xdr:colOff>88101</xdr:colOff>
      <xdr:row>0</xdr:row>
      <xdr:rowOff>79855</xdr:rowOff>
    </xdr:from>
    <xdr:to>
      <xdr:col>13</xdr:col>
      <xdr:colOff>433117</xdr:colOff>
      <xdr:row>3</xdr:row>
      <xdr:rowOff>125574</xdr:rowOff>
    </xdr:to>
    <xdr:pic>
      <xdr:nvPicPr>
        <xdr:cNvPr id="5" name="Picture 4">
          <a:hlinkClick xmlns:r="http://schemas.openxmlformats.org/officeDocument/2006/relationships" r:id="rId4"/>
          <a:extLst>
            <a:ext uri="{FF2B5EF4-FFF2-40B4-BE49-F238E27FC236}">
              <a16:creationId xmlns:a16="http://schemas.microsoft.com/office/drawing/2014/main" id="{87F606BF-C23E-4A77-844D-4FC6E2F36E33}"/>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36923" y="79855"/>
          <a:ext cx="2766715" cy="60939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14</xdr:col>
      <xdr:colOff>23295</xdr:colOff>
      <xdr:row>0</xdr:row>
      <xdr:rowOff>90874</xdr:rowOff>
    </xdr:from>
    <xdr:to>
      <xdr:col>17</xdr:col>
      <xdr:colOff>459328</xdr:colOff>
      <xdr:row>3</xdr:row>
      <xdr:rowOff>127006</xdr:rowOff>
    </xdr:to>
    <xdr:pic>
      <xdr:nvPicPr>
        <xdr:cNvPr id="6" name="Picture 5">
          <a:hlinkClick xmlns:r="http://schemas.openxmlformats.org/officeDocument/2006/relationships" r:id="rId6"/>
          <a:extLst>
            <a:ext uri="{FF2B5EF4-FFF2-40B4-BE49-F238E27FC236}">
              <a16:creationId xmlns:a16="http://schemas.microsoft.com/office/drawing/2014/main" id="{D7947BC1-7647-4EC2-A4D4-AF63E6A6C6E3}"/>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499240" y="90874"/>
          <a:ext cx="2252307" cy="59980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18</xdr:col>
      <xdr:colOff>19203</xdr:colOff>
      <xdr:row>0</xdr:row>
      <xdr:rowOff>80434</xdr:rowOff>
    </xdr:from>
    <xdr:to>
      <xdr:col>22</xdr:col>
      <xdr:colOff>300721</xdr:colOff>
      <xdr:row>3</xdr:row>
      <xdr:rowOff>135739</xdr:rowOff>
    </xdr:to>
    <xdr:pic>
      <xdr:nvPicPr>
        <xdr:cNvPr id="7" name="Picture 6">
          <a:hlinkClick xmlns:r="http://schemas.openxmlformats.org/officeDocument/2006/relationships" r:id="rId8"/>
          <a:extLst>
            <a:ext uri="{FF2B5EF4-FFF2-40B4-BE49-F238E27FC236}">
              <a16:creationId xmlns:a16="http://schemas.microsoft.com/office/drawing/2014/main" id="{394A9ECF-CC51-4305-A391-2FDA195A7ABB}"/>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extLst>
            <a:ext uri="{BEBA8EAE-BF5A-486C-A8C5-ECC9F3942E4B}">
              <a14:imgProps xmlns:a14="http://schemas.microsoft.com/office/drawing/2010/main">
                <a14:imgLayer r:embed="rId10">
                  <a14:imgEffect>
                    <a14:colorTemperature colorTemp="112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10916847" y="80434"/>
          <a:ext cx="2703216" cy="6189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28</xdr:col>
      <xdr:colOff>486010</xdr:colOff>
      <xdr:row>30</xdr:row>
      <xdr:rowOff>56471</xdr:rowOff>
    </xdr:from>
    <xdr:to>
      <xdr:col>31</xdr:col>
      <xdr:colOff>486010</xdr:colOff>
      <xdr:row>66</xdr:row>
      <xdr:rowOff>10438</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1F33B83A-CEB6-48BB-B985-1A819DC74CA2}"/>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7437900" y="5693183"/>
              <a:ext cx="1816274" cy="671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553232</xdr:colOff>
      <xdr:row>4</xdr:row>
      <xdr:rowOff>142484</xdr:rowOff>
    </xdr:from>
    <xdr:to>
      <xdr:col>31</xdr:col>
      <xdr:colOff>432669</xdr:colOff>
      <xdr:row>15</xdr:row>
      <xdr:rowOff>93945</xdr:rowOff>
    </xdr:to>
    <mc:AlternateContent xmlns:mc="http://schemas.openxmlformats.org/markup-compatibility/2006" xmlns:a14="http://schemas.microsoft.com/office/drawing/2010/main">
      <mc:Choice Requires="a14">
        <xdr:graphicFrame macro="">
          <xdr:nvGraphicFramePr>
            <xdr:cNvPr id="9" name="seller 3">
              <a:extLst>
                <a:ext uri="{FF2B5EF4-FFF2-40B4-BE49-F238E27FC236}">
                  <a16:creationId xmlns:a16="http://schemas.microsoft.com/office/drawing/2014/main" id="{DC848943-53CF-4C54-88C4-74E2D27A9922}"/>
                </a:ext>
              </a:extLst>
            </xdr:cNvPr>
            <xdr:cNvGraphicFramePr/>
          </xdr:nvGraphicFramePr>
          <xdr:xfrm>
            <a:off x="0" y="0"/>
            <a:ext cx="0" cy="0"/>
          </xdr:xfrm>
          <a:graphic>
            <a:graphicData uri="http://schemas.microsoft.com/office/drawing/2010/slicer">
              <sle:slicer xmlns:sle="http://schemas.microsoft.com/office/drawing/2010/slicer" name="seller 3"/>
            </a:graphicData>
          </a:graphic>
        </xdr:graphicFrame>
      </mc:Choice>
      <mc:Fallback xmlns="">
        <xdr:sp macro="" textlink="">
          <xdr:nvSpPr>
            <xdr:cNvPr id="0" name=""/>
            <xdr:cNvSpPr>
              <a:spLocks noTextEdit="1"/>
            </xdr:cNvSpPr>
          </xdr:nvSpPr>
          <xdr:spPr>
            <a:xfrm>
              <a:off x="17505122" y="894046"/>
              <a:ext cx="1695711" cy="2018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465655</xdr:colOff>
      <xdr:row>4</xdr:row>
      <xdr:rowOff>52192</xdr:rowOff>
    </xdr:from>
    <xdr:to>
      <xdr:col>5</xdr:col>
      <xdr:colOff>465655</xdr:colOff>
      <xdr:row>66</xdr:row>
      <xdr:rowOff>1</xdr:rowOff>
    </xdr:to>
    <mc:AlternateContent xmlns:mc="http://schemas.openxmlformats.org/markup-compatibility/2006" xmlns:a14="http://schemas.microsoft.com/office/drawing/2010/main">
      <mc:Choice Requires="a14">
        <xdr:graphicFrame macro="">
          <xdr:nvGraphicFramePr>
            <xdr:cNvPr id="10" name="product 3">
              <a:extLst>
                <a:ext uri="{FF2B5EF4-FFF2-40B4-BE49-F238E27FC236}">
                  <a16:creationId xmlns:a16="http://schemas.microsoft.com/office/drawing/2014/main" id="{A669FE69-F0E4-4E28-AE54-6B566A074687}"/>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676504" y="803754"/>
              <a:ext cx="1816274" cy="1159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104384</xdr:colOff>
      <xdr:row>43</xdr:row>
      <xdr:rowOff>31316</xdr:rowOff>
    </xdr:from>
    <xdr:to>
      <xdr:col>2</xdr:col>
      <xdr:colOff>371084</xdr:colOff>
      <xdr:row>66</xdr:row>
      <xdr:rowOff>10439</xdr:rowOff>
    </xdr:to>
    <mc:AlternateContent xmlns:mc="http://schemas.openxmlformats.org/markup-compatibility/2006" xmlns:a14="http://schemas.microsoft.com/office/drawing/2010/main">
      <mc:Choice Requires="a14">
        <xdr:graphicFrame macro="">
          <xdr:nvGraphicFramePr>
            <xdr:cNvPr id="11" name="payment_mode 3">
              <a:extLst>
                <a:ext uri="{FF2B5EF4-FFF2-40B4-BE49-F238E27FC236}">
                  <a16:creationId xmlns:a16="http://schemas.microsoft.com/office/drawing/2014/main" id="{BA5916E0-0613-41F6-A3B4-D613307C08B6}"/>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mlns="">
        <xdr:sp macro="" textlink="">
          <xdr:nvSpPr>
            <xdr:cNvPr id="0" name=""/>
            <xdr:cNvSpPr>
              <a:spLocks noTextEdit="1"/>
            </xdr:cNvSpPr>
          </xdr:nvSpPr>
          <xdr:spPr>
            <a:xfrm>
              <a:off x="104384" y="8110604"/>
              <a:ext cx="1477549" cy="430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4</xdr:row>
      <xdr:rowOff>38098</xdr:rowOff>
    </xdr:from>
    <xdr:to>
      <xdr:col>2</xdr:col>
      <xdr:colOff>327660</xdr:colOff>
      <xdr:row>42</xdr:row>
      <xdr:rowOff>0</xdr:rowOff>
    </xdr:to>
    <mc:AlternateContent xmlns:mc="http://schemas.openxmlformats.org/markup-compatibility/2006" xmlns:a14="http://schemas.microsoft.com/office/drawing/2010/main">
      <mc:Choice Requires="a14">
        <xdr:graphicFrame macro="">
          <xdr:nvGraphicFramePr>
            <xdr:cNvPr id="12" name="customer_location 3">
              <a:extLst>
                <a:ext uri="{FF2B5EF4-FFF2-40B4-BE49-F238E27FC236}">
                  <a16:creationId xmlns:a16="http://schemas.microsoft.com/office/drawing/2014/main" id="{0F6F3C4A-A57F-411A-9477-F9C31A267B9C}"/>
                </a:ext>
              </a:extLst>
            </xdr:cNvPr>
            <xdr:cNvGraphicFramePr/>
          </xdr:nvGraphicFramePr>
          <xdr:xfrm>
            <a:off x="0" y="0"/>
            <a:ext cx="0" cy="0"/>
          </xdr:xfrm>
          <a:graphic>
            <a:graphicData uri="http://schemas.microsoft.com/office/drawing/2010/slicer">
              <sle:slicer xmlns:sle="http://schemas.microsoft.com/office/drawing/2010/slicer" name="customer_location 3"/>
            </a:graphicData>
          </a:graphic>
        </xdr:graphicFrame>
      </mc:Choice>
      <mc:Fallback xmlns="">
        <xdr:sp macro="" textlink="">
          <xdr:nvSpPr>
            <xdr:cNvPr id="0" name=""/>
            <xdr:cNvSpPr>
              <a:spLocks noTextEdit="1"/>
            </xdr:cNvSpPr>
          </xdr:nvSpPr>
          <xdr:spPr>
            <a:xfrm>
              <a:off x="53340" y="789660"/>
              <a:ext cx="1485169" cy="710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516908</xdr:colOff>
      <xdr:row>15</xdr:row>
      <xdr:rowOff>186220</xdr:rowOff>
    </xdr:from>
    <xdr:to>
      <xdr:col>31</xdr:col>
      <xdr:colOff>516908</xdr:colOff>
      <xdr:row>29</xdr:row>
      <xdr:rowOff>87864</xdr:rowOff>
    </xdr:to>
    <mc:AlternateContent xmlns:mc="http://schemas.openxmlformats.org/markup-compatibility/2006" xmlns:a14="http://schemas.microsoft.com/office/drawing/2010/main">
      <mc:Choice Requires="a14">
        <xdr:graphicFrame macro="">
          <xdr:nvGraphicFramePr>
            <xdr:cNvPr id="13" name="delivery_status 3">
              <a:extLst>
                <a:ext uri="{FF2B5EF4-FFF2-40B4-BE49-F238E27FC236}">
                  <a16:creationId xmlns:a16="http://schemas.microsoft.com/office/drawing/2014/main" id="{6472C243-23D9-48CD-9015-676E6BF819E4}"/>
                </a:ext>
              </a:extLst>
            </xdr:cNvPr>
            <xdr:cNvGraphicFramePr/>
          </xdr:nvGraphicFramePr>
          <xdr:xfrm>
            <a:off x="0" y="0"/>
            <a:ext cx="0" cy="0"/>
          </xdr:xfrm>
          <a:graphic>
            <a:graphicData uri="http://schemas.microsoft.com/office/drawing/2010/slicer">
              <sle:slicer xmlns:sle="http://schemas.microsoft.com/office/drawing/2010/slicer" name="delivery_status 3"/>
            </a:graphicData>
          </a:graphic>
        </xdr:graphicFrame>
      </mc:Choice>
      <mc:Fallback xmlns="">
        <xdr:sp macro="" textlink="">
          <xdr:nvSpPr>
            <xdr:cNvPr id="0" name=""/>
            <xdr:cNvSpPr>
              <a:spLocks noTextEdit="1"/>
            </xdr:cNvSpPr>
          </xdr:nvSpPr>
          <xdr:spPr>
            <a:xfrm>
              <a:off x="17468798" y="3004576"/>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574109</xdr:colOff>
      <xdr:row>4</xdr:row>
      <xdr:rowOff>146137</xdr:rowOff>
    </xdr:from>
    <xdr:to>
      <xdr:col>14</xdr:col>
      <xdr:colOff>532356</xdr:colOff>
      <xdr:row>25</xdr:row>
      <xdr:rowOff>156575</xdr:rowOff>
    </xdr:to>
    <xdr:graphicFrame macro="">
      <xdr:nvGraphicFramePr>
        <xdr:cNvPr id="19" name="Chart 18">
          <a:extLst>
            <a:ext uri="{FF2B5EF4-FFF2-40B4-BE49-F238E27FC236}">
              <a16:creationId xmlns:a16="http://schemas.microsoft.com/office/drawing/2014/main" id="{D986B6DE-1D25-43FD-A788-76B3A61D5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0</xdr:colOff>
      <xdr:row>27</xdr:row>
      <xdr:rowOff>83507</xdr:rowOff>
    </xdr:from>
    <xdr:to>
      <xdr:col>14</xdr:col>
      <xdr:colOff>490603</xdr:colOff>
      <xdr:row>45</xdr:row>
      <xdr:rowOff>20773</xdr:rowOff>
    </xdr:to>
    <xdr:graphicFrame macro="">
      <xdr:nvGraphicFramePr>
        <xdr:cNvPr id="20" name="Chart 19">
          <a:extLst>
            <a:ext uri="{FF2B5EF4-FFF2-40B4-BE49-F238E27FC236}">
              <a16:creationId xmlns:a16="http://schemas.microsoft.com/office/drawing/2014/main" id="{FBE75E73-B0D7-48D3-A823-E7E363764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93944</xdr:colOff>
      <xdr:row>27</xdr:row>
      <xdr:rowOff>73069</xdr:rowOff>
    </xdr:from>
    <xdr:to>
      <xdr:col>28</xdr:col>
      <xdr:colOff>334028</xdr:colOff>
      <xdr:row>44</xdr:row>
      <xdr:rowOff>146764</xdr:rowOff>
    </xdr:to>
    <xdr:graphicFrame macro="">
      <xdr:nvGraphicFramePr>
        <xdr:cNvPr id="21" name="Chart 20">
          <a:extLst>
            <a:ext uri="{FF2B5EF4-FFF2-40B4-BE49-F238E27FC236}">
              <a16:creationId xmlns:a16="http://schemas.microsoft.com/office/drawing/2014/main" id="{6E4B6AF5-7C65-48FE-A131-BB08E9F37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574110</xdr:colOff>
      <xdr:row>46</xdr:row>
      <xdr:rowOff>93945</xdr:rowOff>
    </xdr:from>
    <xdr:to>
      <xdr:col>28</xdr:col>
      <xdr:colOff>344466</xdr:colOff>
      <xdr:row>66</xdr:row>
      <xdr:rowOff>18580</xdr:rowOff>
    </xdr:to>
    <xdr:graphicFrame macro="">
      <xdr:nvGraphicFramePr>
        <xdr:cNvPr id="22" name="Chart 21">
          <a:extLst>
            <a:ext uri="{FF2B5EF4-FFF2-40B4-BE49-F238E27FC236}">
              <a16:creationId xmlns:a16="http://schemas.microsoft.com/office/drawing/2014/main" id="{2F3DD62F-9D5C-47B5-9C09-AF47AD0C4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125260</xdr:colOff>
      <xdr:row>4</xdr:row>
      <xdr:rowOff>135698</xdr:rowOff>
    </xdr:from>
    <xdr:to>
      <xdr:col>28</xdr:col>
      <xdr:colOff>396658</xdr:colOff>
      <xdr:row>25</xdr:row>
      <xdr:rowOff>146137</xdr:rowOff>
    </xdr:to>
    <xdr:graphicFrame macro="">
      <xdr:nvGraphicFramePr>
        <xdr:cNvPr id="23" name="Chart 22">
          <a:extLst>
            <a:ext uri="{FF2B5EF4-FFF2-40B4-BE49-F238E27FC236}">
              <a16:creationId xmlns:a16="http://schemas.microsoft.com/office/drawing/2014/main" id="{A2D60C64-7F3B-44CF-9189-07B55A25A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605424</xdr:colOff>
      <xdr:row>66</xdr:row>
      <xdr:rowOff>177451</xdr:rowOff>
    </xdr:to>
    <xdr:sp macro="" textlink="">
      <xdr:nvSpPr>
        <xdr:cNvPr id="2" name="Rectangle 1">
          <a:extLst>
            <a:ext uri="{FF2B5EF4-FFF2-40B4-BE49-F238E27FC236}">
              <a16:creationId xmlns:a16="http://schemas.microsoft.com/office/drawing/2014/main" id="{923A56FF-7E37-4033-B3A5-EF057B056AA5}"/>
            </a:ext>
          </a:extLst>
        </xdr:cNvPr>
        <xdr:cNvSpPr/>
      </xdr:nvSpPr>
      <xdr:spPr>
        <a:xfrm>
          <a:off x="0" y="0"/>
          <a:ext cx="19373588" cy="1257821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53341</xdr:colOff>
      <xdr:row>0</xdr:row>
      <xdr:rowOff>38101</xdr:rowOff>
    </xdr:from>
    <xdr:to>
      <xdr:col>8</xdr:col>
      <xdr:colOff>313151</xdr:colOff>
      <xdr:row>3</xdr:row>
      <xdr:rowOff>121921</xdr:rowOff>
    </xdr:to>
    <xdr:sp macro="" textlink="">
      <xdr:nvSpPr>
        <xdr:cNvPr id="3" name="Flowchart: Alternate Process 2">
          <a:hlinkClick xmlns:r="http://schemas.openxmlformats.org/officeDocument/2006/relationships" r:id="rId1"/>
          <a:extLst>
            <a:ext uri="{FF2B5EF4-FFF2-40B4-BE49-F238E27FC236}">
              <a16:creationId xmlns:a16="http://schemas.microsoft.com/office/drawing/2014/main" id="{16AB9958-4B71-4AAE-95A0-4C35D099C660}"/>
            </a:ext>
          </a:extLst>
        </xdr:cNvPr>
        <xdr:cNvSpPr/>
      </xdr:nvSpPr>
      <xdr:spPr>
        <a:xfrm>
          <a:off x="53341" y="38101"/>
          <a:ext cx="5136610" cy="632460"/>
        </a:xfrm>
        <a:prstGeom prst="flowChartAlternateProcess">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bg1"/>
              </a:solidFill>
            </a:rPr>
            <a:t>        SALES DASHBOARD DASHBOARD</a:t>
          </a:r>
          <a:r>
            <a:rPr lang="en-IN" sz="3600" b="1" baseline="0">
              <a:solidFill>
                <a:schemeClr val="tx1"/>
              </a:solidFill>
            </a:rPr>
            <a:t> </a:t>
          </a:r>
          <a:r>
            <a:rPr lang="en-IN" sz="3600" b="1" baseline="0">
              <a:solidFill>
                <a:schemeClr val="bg1"/>
              </a:solidFill>
            </a:rPr>
            <a:t>DASHBOARD </a:t>
          </a:r>
        </a:p>
      </xdr:txBody>
    </xdr:sp>
    <xdr:clientData/>
  </xdr:twoCellAnchor>
  <xdr:twoCellAnchor>
    <xdr:from>
      <xdr:col>0</xdr:col>
      <xdr:colOff>271450</xdr:colOff>
      <xdr:row>0</xdr:row>
      <xdr:rowOff>76201</xdr:rowOff>
    </xdr:from>
    <xdr:to>
      <xdr:col>1</xdr:col>
      <xdr:colOff>292733</xdr:colOff>
      <xdr:row>3</xdr:row>
      <xdr:rowOff>99060</xdr:rowOff>
    </xdr:to>
    <xdr:pic>
      <xdr:nvPicPr>
        <xdr:cNvPr id="4" name="Picture 3">
          <a:extLst>
            <a:ext uri="{FF2B5EF4-FFF2-40B4-BE49-F238E27FC236}">
              <a16:creationId xmlns:a16="http://schemas.microsoft.com/office/drawing/2014/main" id="{ABCE94AB-3B9F-40A7-8B85-329C187A588B}"/>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71450" y="76201"/>
          <a:ext cx="630883" cy="5714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9</xdr:col>
      <xdr:colOff>88101</xdr:colOff>
      <xdr:row>0</xdr:row>
      <xdr:rowOff>79855</xdr:rowOff>
    </xdr:from>
    <xdr:to>
      <xdr:col>13</xdr:col>
      <xdr:colOff>433117</xdr:colOff>
      <xdr:row>3</xdr:row>
      <xdr:rowOff>125574</xdr:rowOff>
    </xdr:to>
    <xdr:pic>
      <xdr:nvPicPr>
        <xdr:cNvPr id="5" name="Picture 4">
          <a:hlinkClick xmlns:r="http://schemas.openxmlformats.org/officeDocument/2006/relationships" r:id="rId4"/>
          <a:extLst>
            <a:ext uri="{FF2B5EF4-FFF2-40B4-BE49-F238E27FC236}">
              <a16:creationId xmlns:a16="http://schemas.microsoft.com/office/drawing/2014/main" id="{52944C85-5E3D-4FBF-9604-EB16073E98C5}"/>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74501" y="79855"/>
          <a:ext cx="2783416" cy="59435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14</xdr:col>
      <xdr:colOff>23295</xdr:colOff>
      <xdr:row>0</xdr:row>
      <xdr:rowOff>90874</xdr:rowOff>
    </xdr:from>
    <xdr:to>
      <xdr:col>17</xdr:col>
      <xdr:colOff>459328</xdr:colOff>
      <xdr:row>3</xdr:row>
      <xdr:rowOff>127006</xdr:rowOff>
    </xdr:to>
    <xdr:pic>
      <xdr:nvPicPr>
        <xdr:cNvPr id="6" name="Picture 5">
          <a:hlinkClick xmlns:r="http://schemas.openxmlformats.org/officeDocument/2006/relationships" r:id="rId6"/>
          <a:extLst>
            <a:ext uri="{FF2B5EF4-FFF2-40B4-BE49-F238E27FC236}">
              <a16:creationId xmlns:a16="http://schemas.microsoft.com/office/drawing/2014/main" id="{53759A99-B740-4561-923C-D600C48DA94F}"/>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557695" y="90874"/>
          <a:ext cx="2264833" cy="5847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18</xdr:col>
      <xdr:colOff>19203</xdr:colOff>
      <xdr:row>0</xdr:row>
      <xdr:rowOff>80434</xdr:rowOff>
    </xdr:from>
    <xdr:to>
      <xdr:col>22</xdr:col>
      <xdr:colOff>300721</xdr:colOff>
      <xdr:row>3</xdr:row>
      <xdr:rowOff>135739</xdr:rowOff>
    </xdr:to>
    <xdr:pic>
      <xdr:nvPicPr>
        <xdr:cNvPr id="7" name="Picture 6">
          <a:hlinkClick xmlns:r="http://schemas.openxmlformats.org/officeDocument/2006/relationships" r:id="rId8"/>
          <a:extLst>
            <a:ext uri="{FF2B5EF4-FFF2-40B4-BE49-F238E27FC236}">
              <a16:creationId xmlns:a16="http://schemas.microsoft.com/office/drawing/2014/main" id="{790410DE-8C2A-4C94-A391-ECE0A6EBF215}"/>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extLst>
            <a:ext uri="{BEBA8EAE-BF5A-486C-A8C5-ECC9F3942E4B}">
              <a14:imgProps xmlns:a14="http://schemas.microsoft.com/office/drawing/2010/main">
                <a14:imgLayer r:embed="rId10">
                  <a14:imgEffect>
                    <a14:colorTemperature colorTemp="112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10992003" y="80434"/>
          <a:ext cx="2719918" cy="6039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28</xdr:col>
      <xdr:colOff>486010</xdr:colOff>
      <xdr:row>30</xdr:row>
      <xdr:rowOff>56471</xdr:rowOff>
    </xdr:from>
    <xdr:to>
      <xdr:col>31</xdr:col>
      <xdr:colOff>486010</xdr:colOff>
      <xdr:row>66</xdr:row>
      <xdr:rowOff>10438</xdr:rowOff>
    </xdr:to>
    <mc:AlternateContent xmlns:mc="http://schemas.openxmlformats.org/markup-compatibility/2006" xmlns:a14="http://schemas.microsoft.com/office/drawing/2010/main">
      <mc:Choice Requires="a14">
        <xdr:graphicFrame macro="">
          <xdr:nvGraphicFramePr>
            <xdr:cNvPr id="8" name="month 5">
              <a:extLst>
                <a:ext uri="{FF2B5EF4-FFF2-40B4-BE49-F238E27FC236}">
                  <a16:creationId xmlns:a16="http://schemas.microsoft.com/office/drawing/2014/main" id="{6A78EBEE-9E8A-4F4B-9215-51C7E8FC197D}"/>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7437900" y="5693183"/>
              <a:ext cx="1816274" cy="671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553232</xdr:colOff>
      <xdr:row>4</xdr:row>
      <xdr:rowOff>142484</xdr:rowOff>
    </xdr:from>
    <xdr:to>
      <xdr:col>31</xdr:col>
      <xdr:colOff>432669</xdr:colOff>
      <xdr:row>15</xdr:row>
      <xdr:rowOff>93945</xdr:rowOff>
    </xdr:to>
    <mc:AlternateContent xmlns:mc="http://schemas.openxmlformats.org/markup-compatibility/2006" xmlns:a14="http://schemas.microsoft.com/office/drawing/2010/main">
      <mc:Choice Requires="a14">
        <xdr:graphicFrame macro="">
          <xdr:nvGraphicFramePr>
            <xdr:cNvPr id="9" name="seller 5">
              <a:extLst>
                <a:ext uri="{FF2B5EF4-FFF2-40B4-BE49-F238E27FC236}">
                  <a16:creationId xmlns:a16="http://schemas.microsoft.com/office/drawing/2014/main" id="{7AE0C7D2-E16F-4C7E-8B98-950BD6A8C7C6}"/>
                </a:ext>
              </a:extLst>
            </xdr:cNvPr>
            <xdr:cNvGraphicFramePr/>
          </xdr:nvGraphicFramePr>
          <xdr:xfrm>
            <a:off x="0" y="0"/>
            <a:ext cx="0" cy="0"/>
          </xdr:xfrm>
          <a:graphic>
            <a:graphicData uri="http://schemas.microsoft.com/office/drawing/2010/slicer">
              <sle:slicer xmlns:sle="http://schemas.microsoft.com/office/drawing/2010/slicer" name="seller 5"/>
            </a:graphicData>
          </a:graphic>
        </xdr:graphicFrame>
      </mc:Choice>
      <mc:Fallback xmlns="">
        <xdr:sp macro="" textlink="">
          <xdr:nvSpPr>
            <xdr:cNvPr id="0" name=""/>
            <xdr:cNvSpPr>
              <a:spLocks noTextEdit="1"/>
            </xdr:cNvSpPr>
          </xdr:nvSpPr>
          <xdr:spPr>
            <a:xfrm>
              <a:off x="17505122" y="894046"/>
              <a:ext cx="1695711" cy="2018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465655</xdr:colOff>
      <xdr:row>4</xdr:row>
      <xdr:rowOff>52192</xdr:rowOff>
    </xdr:from>
    <xdr:to>
      <xdr:col>5</xdr:col>
      <xdr:colOff>465655</xdr:colOff>
      <xdr:row>66</xdr:row>
      <xdr:rowOff>1</xdr:rowOff>
    </xdr:to>
    <mc:AlternateContent xmlns:mc="http://schemas.openxmlformats.org/markup-compatibility/2006" xmlns:a14="http://schemas.microsoft.com/office/drawing/2010/main">
      <mc:Choice Requires="a14">
        <xdr:graphicFrame macro="">
          <xdr:nvGraphicFramePr>
            <xdr:cNvPr id="10" name="product 5">
              <a:extLst>
                <a:ext uri="{FF2B5EF4-FFF2-40B4-BE49-F238E27FC236}">
                  <a16:creationId xmlns:a16="http://schemas.microsoft.com/office/drawing/2014/main" id="{1CB6AD19-D352-44FD-B782-86DC5DDA443C}"/>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1676504" y="803754"/>
              <a:ext cx="1816274" cy="1159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104384</xdr:colOff>
      <xdr:row>43</xdr:row>
      <xdr:rowOff>31316</xdr:rowOff>
    </xdr:from>
    <xdr:to>
      <xdr:col>2</xdr:col>
      <xdr:colOff>371084</xdr:colOff>
      <xdr:row>66</xdr:row>
      <xdr:rowOff>10439</xdr:rowOff>
    </xdr:to>
    <mc:AlternateContent xmlns:mc="http://schemas.openxmlformats.org/markup-compatibility/2006" xmlns:a14="http://schemas.microsoft.com/office/drawing/2010/main">
      <mc:Choice Requires="a14">
        <xdr:graphicFrame macro="">
          <xdr:nvGraphicFramePr>
            <xdr:cNvPr id="11" name="payment_mode 5">
              <a:extLst>
                <a:ext uri="{FF2B5EF4-FFF2-40B4-BE49-F238E27FC236}">
                  <a16:creationId xmlns:a16="http://schemas.microsoft.com/office/drawing/2014/main" id="{CFAE96C6-479F-4348-8708-9E41246C6C3B}"/>
                </a:ext>
              </a:extLst>
            </xdr:cNvPr>
            <xdr:cNvGraphicFramePr/>
          </xdr:nvGraphicFramePr>
          <xdr:xfrm>
            <a:off x="0" y="0"/>
            <a:ext cx="0" cy="0"/>
          </xdr:xfrm>
          <a:graphic>
            <a:graphicData uri="http://schemas.microsoft.com/office/drawing/2010/slicer">
              <sle:slicer xmlns:sle="http://schemas.microsoft.com/office/drawing/2010/slicer" name="payment_mode 5"/>
            </a:graphicData>
          </a:graphic>
        </xdr:graphicFrame>
      </mc:Choice>
      <mc:Fallback xmlns="">
        <xdr:sp macro="" textlink="">
          <xdr:nvSpPr>
            <xdr:cNvPr id="0" name=""/>
            <xdr:cNvSpPr>
              <a:spLocks noTextEdit="1"/>
            </xdr:cNvSpPr>
          </xdr:nvSpPr>
          <xdr:spPr>
            <a:xfrm>
              <a:off x="104384" y="8110604"/>
              <a:ext cx="1477549" cy="430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4</xdr:row>
      <xdr:rowOff>38098</xdr:rowOff>
    </xdr:from>
    <xdr:to>
      <xdr:col>2</xdr:col>
      <xdr:colOff>327660</xdr:colOff>
      <xdr:row>42</xdr:row>
      <xdr:rowOff>0</xdr:rowOff>
    </xdr:to>
    <mc:AlternateContent xmlns:mc="http://schemas.openxmlformats.org/markup-compatibility/2006" xmlns:a14="http://schemas.microsoft.com/office/drawing/2010/main">
      <mc:Choice Requires="a14">
        <xdr:graphicFrame macro="">
          <xdr:nvGraphicFramePr>
            <xdr:cNvPr id="12" name="customer_location 5">
              <a:extLst>
                <a:ext uri="{FF2B5EF4-FFF2-40B4-BE49-F238E27FC236}">
                  <a16:creationId xmlns:a16="http://schemas.microsoft.com/office/drawing/2014/main" id="{DC7D2A80-77A8-448E-9396-E14B8AF13E7D}"/>
                </a:ext>
              </a:extLst>
            </xdr:cNvPr>
            <xdr:cNvGraphicFramePr/>
          </xdr:nvGraphicFramePr>
          <xdr:xfrm>
            <a:off x="0" y="0"/>
            <a:ext cx="0" cy="0"/>
          </xdr:xfrm>
          <a:graphic>
            <a:graphicData uri="http://schemas.microsoft.com/office/drawing/2010/slicer">
              <sle:slicer xmlns:sle="http://schemas.microsoft.com/office/drawing/2010/slicer" name="customer_location 5"/>
            </a:graphicData>
          </a:graphic>
        </xdr:graphicFrame>
      </mc:Choice>
      <mc:Fallback xmlns="">
        <xdr:sp macro="" textlink="">
          <xdr:nvSpPr>
            <xdr:cNvPr id="0" name=""/>
            <xdr:cNvSpPr>
              <a:spLocks noTextEdit="1"/>
            </xdr:cNvSpPr>
          </xdr:nvSpPr>
          <xdr:spPr>
            <a:xfrm>
              <a:off x="53340" y="789660"/>
              <a:ext cx="1485169" cy="710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516908</xdr:colOff>
      <xdr:row>15</xdr:row>
      <xdr:rowOff>186220</xdr:rowOff>
    </xdr:from>
    <xdr:to>
      <xdr:col>31</xdr:col>
      <xdr:colOff>516908</xdr:colOff>
      <xdr:row>29</xdr:row>
      <xdr:rowOff>87864</xdr:rowOff>
    </xdr:to>
    <mc:AlternateContent xmlns:mc="http://schemas.openxmlformats.org/markup-compatibility/2006" xmlns:a14="http://schemas.microsoft.com/office/drawing/2010/main">
      <mc:Choice Requires="a14">
        <xdr:graphicFrame macro="">
          <xdr:nvGraphicFramePr>
            <xdr:cNvPr id="13" name="delivery_status 5">
              <a:extLst>
                <a:ext uri="{FF2B5EF4-FFF2-40B4-BE49-F238E27FC236}">
                  <a16:creationId xmlns:a16="http://schemas.microsoft.com/office/drawing/2014/main" id="{6FE0F09D-9B19-4D0D-8AF6-98C7D8D2FA2D}"/>
                </a:ext>
              </a:extLst>
            </xdr:cNvPr>
            <xdr:cNvGraphicFramePr/>
          </xdr:nvGraphicFramePr>
          <xdr:xfrm>
            <a:off x="0" y="0"/>
            <a:ext cx="0" cy="0"/>
          </xdr:xfrm>
          <a:graphic>
            <a:graphicData uri="http://schemas.microsoft.com/office/drawing/2010/slicer">
              <sle:slicer xmlns:sle="http://schemas.microsoft.com/office/drawing/2010/slicer" name="delivery_status 5"/>
            </a:graphicData>
          </a:graphic>
        </xdr:graphicFrame>
      </mc:Choice>
      <mc:Fallback xmlns="">
        <xdr:sp macro="" textlink="">
          <xdr:nvSpPr>
            <xdr:cNvPr id="0" name=""/>
            <xdr:cNvSpPr>
              <a:spLocks noTextEdit="1"/>
            </xdr:cNvSpPr>
          </xdr:nvSpPr>
          <xdr:spPr>
            <a:xfrm>
              <a:off x="17468798" y="3004576"/>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594987</xdr:colOff>
      <xdr:row>4</xdr:row>
      <xdr:rowOff>83506</xdr:rowOff>
    </xdr:from>
    <xdr:to>
      <xdr:col>14</xdr:col>
      <xdr:colOff>73069</xdr:colOff>
      <xdr:row>22</xdr:row>
      <xdr:rowOff>146137</xdr:rowOff>
    </xdr:to>
    <xdr:graphicFrame macro="">
      <xdr:nvGraphicFramePr>
        <xdr:cNvPr id="19" name="Chart 18">
          <a:extLst>
            <a:ext uri="{FF2B5EF4-FFF2-40B4-BE49-F238E27FC236}">
              <a16:creationId xmlns:a16="http://schemas.microsoft.com/office/drawing/2014/main" id="{07771BB1-72F0-467B-868D-2C696E141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594986</xdr:colOff>
      <xdr:row>24</xdr:row>
      <xdr:rowOff>62630</xdr:rowOff>
    </xdr:from>
    <xdr:to>
      <xdr:col>14</xdr:col>
      <xdr:colOff>167014</xdr:colOff>
      <xdr:row>43</xdr:row>
      <xdr:rowOff>31315</xdr:rowOff>
    </xdr:to>
    <xdr:graphicFrame macro="">
      <xdr:nvGraphicFramePr>
        <xdr:cNvPr id="20" name="Chart 19">
          <a:extLst>
            <a:ext uri="{FF2B5EF4-FFF2-40B4-BE49-F238E27FC236}">
              <a16:creationId xmlns:a16="http://schemas.microsoft.com/office/drawing/2014/main" id="{5A522F39-C5EE-4A1A-8A12-09EF6DF6C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292274</xdr:colOff>
      <xdr:row>24</xdr:row>
      <xdr:rowOff>73068</xdr:rowOff>
    </xdr:from>
    <xdr:to>
      <xdr:col>28</xdr:col>
      <xdr:colOff>354905</xdr:colOff>
      <xdr:row>43</xdr:row>
      <xdr:rowOff>68162</xdr:rowOff>
    </xdr:to>
    <xdr:graphicFrame macro="">
      <xdr:nvGraphicFramePr>
        <xdr:cNvPr id="21" name="Chart 20">
          <a:extLst>
            <a:ext uri="{FF2B5EF4-FFF2-40B4-BE49-F238E27FC236}">
              <a16:creationId xmlns:a16="http://schemas.microsoft.com/office/drawing/2014/main" id="{C646097C-6BC9-4D94-B827-8ECCFF71F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553233</xdr:colOff>
      <xdr:row>46</xdr:row>
      <xdr:rowOff>83507</xdr:rowOff>
    </xdr:from>
    <xdr:to>
      <xdr:col>28</xdr:col>
      <xdr:colOff>334028</xdr:colOff>
      <xdr:row>65</xdr:row>
      <xdr:rowOff>141231</xdr:rowOff>
    </xdr:to>
    <xdr:graphicFrame macro="">
      <xdr:nvGraphicFramePr>
        <xdr:cNvPr id="22" name="Chart 21">
          <a:extLst>
            <a:ext uri="{FF2B5EF4-FFF2-40B4-BE49-F238E27FC236}">
              <a16:creationId xmlns:a16="http://schemas.microsoft.com/office/drawing/2014/main" id="{89678D48-CB09-4484-8565-B84B3EA9D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365342</xdr:colOff>
      <xdr:row>4</xdr:row>
      <xdr:rowOff>112734</xdr:rowOff>
    </xdr:from>
    <xdr:to>
      <xdr:col>28</xdr:col>
      <xdr:colOff>323588</xdr:colOff>
      <xdr:row>22</xdr:row>
      <xdr:rowOff>146137</xdr:rowOff>
    </xdr:to>
    <xdr:graphicFrame macro="">
      <xdr:nvGraphicFramePr>
        <xdr:cNvPr id="23" name="Chart 22">
          <a:extLst>
            <a:ext uri="{FF2B5EF4-FFF2-40B4-BE49-F238E27FC236}">
              <a16:creationId xmlns:a16="http://schemas.microsoft.com/office/drawing/2014/main" id="{0E2B6083-E134-4545-99B0-30B36C06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605424</xdr:colOff>
      <xdr:row>66</xdr:row>
      <xdr:rowOff>177451</xdr:rowOff>
    </xdr:to>
    <xdr:sp macro="" textlink="">
      <xdr:nvSpPr>
        <xdr:cNvPr id="2" name="Rectangle 1">
          <a:extLst>
            <a:ext uri="{FF2B5EF4-FFF2-40B4-BE49-F238E27FC236}">
              <a16:creationId xmlns:a16="http://schemas.microsoft.com/office/drawing/2014/main" id="{E042EB6F-2301-4184-A395-C16DB9FB3E20}"/>
            </a:ext>
          </a:extLst>
        </xdr:cNvPr>
        <xdr:cNvSpPr/>
      </xdr:nvSpPr>
      <xdr:spPr>
        <a:xfrm>
          <a:off x="0" y="0"/>
          <a:ext cx="19503024" cy="12247531"/>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53341</xdr:colOff>
      <xdr:row>0</xdr:row>
      <xdr:rowOff>38101</xdr:rowOff>
    </xdr:from>
    <xdr:to>
      <xdr:col>8</xdr:col>
      <xdr:colOff>313151</xdr:colOff>
      <xdr:row>3</xdr:row>
      <xdr:rowOff>121921</xdr:rowOff>
    </xdr:to>
    <xdr:sp macro="" textlink="">
      <xdr:nvSpPr>
        <xdr:cNvPr id="3" name="Flowchart: Alternate Process 2">
          <a:hlinkClick xmlns:r="http://schemas.openxmlformats.org/officeDocument/2006/relationships" r:id="rId1"/>
          <a:extLst>
            <a:ext uri="{FF2B5EF4-FFF2-40B4-BE49-F238E27FC236}">
              <a16:creationId xmlns:a16="http://schemas.microsoft.com/office/drawing/2014/main" id="{01885750-7D6B-4F61-AA57-E551351B8BC5}"/>
            </a:ext>
          </a:extLst>
        </xdr:cNvPr>
        <xdr:cNvSpPr/>
      </xdr:nvSpPr>
      <xdr:spPr>
        <a:xfrm>
          <a:off x="53341" y="38101"/>
          <a:ext cx="5136610" cy="632460"/>
        </a:xfrm>
        <a:prstGeom prst="flowChartAlternateProcess">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bg1"/>
              </a:solidFill>
            </a:rPr>
            <a:t>        SALES DASHBOARD DASHBOARD</a:t>
          </a:r>
          <a:r>
            <a:rPr lang="en-IN" sz="3600" b="1" baseline="0">
              <a:solidFill>
                <a:schemeClr val="tx1"/>
              </a:solidFill>
            </a:rPr>
            <a:t> </a:t>
          </a:r>
          <a:r>
            <a:rPr lang="en-IN" sz="3600" b="1" baseline="0">
              <a:solidFill>
                <a:schemeClr val="bg1"/>
              </a:solidFill>
            </a:rPr>
            <a:t>DASHBOARD </a:t>
          </a:r>
        </a:p>
      </xdr:txBody>
    </xdr:sp>
    <xdr:clientData/>
  </xdr:twoCellAnchor>
  <xdr:twoCellAnchor>
    <xdr:from>
      <xdr:col>0</xdr:col>
      <xdr:colOff>271450</xdr:colOff>
      <xdr:row>0</xdr:row>
      <xdr:rowOff>76201</xdr:rowOff>
    </xdr:from>
    <xdr:to>
      <xdr:col>1</xdr:col>
      <xdr:colOff>292733</xdr:colOff>
      <xdr:row>3</xdr:row>
      <xdr:rowOff>99060</xdr:rowOff>
    </xdr:to>
    <xdr:pic>
      <xdr:nvPicPr>
        <xdr:cNvPr id="4" name="Picture 3">
          <a:extLst>
            <a:ext uri="{FF2B5EF4-FFF2-40B4-BE49-F238E27FC236}">
              <a16:creationId xmlns:a16="http://schemas.microsoft.com/office/drawing/2014/main" id="{9B7DACA7-D311-4A58-9CCE-9B77284505B2}"/>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71450" y="76201"/>
          <a:ext cx="630883" cy="5714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9</xdr:col>
      <xdr:colOff>88101</xdr:colOff>
      <xdr:row>0</xdr:row>
      <xdr:rowOff>79855</xdr:rowOff>
    </xdr:from>
    <xdr:to>
      <xdr:col>13</xdr:col>
      <xdr:colOff>433117</xdr:colOff>
      <xdr:row>3</xdr:row>
      <xdr:rowOff>125574</xdr:rowOff>
    </xdr:to>
    <xdr:pic>
      <xdr:nvPicPr>
        <xdr:cNvPr id="5" name="Picture 4">
          <a:hlinkClick xmlns:r="http://schemas.openxmlformats.org/officeDocument/2006/relationships" r:id="rId4"/>
          <a:extLst>
            <a:ext uri="{FF2B5EF4-FFF2-40B4-BE49-F238E27FC236}">
              <a16:creationId xmlns:a16="http://schemas.microsoft.com/office/drawing/2014/main" id="{DA74C0E7-384D-4427-9E16-963D448E4671}"/>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74501" y="79855"/>
          <a:ext cx="2783416" cy="59435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14</xdr:col>
      <xdr:colOff>23295</xdr:colOff>
      <xdr:row>0</xdr:row>
      <xdr:rowOff>90874</xdr:rowOff>
    </xdr:from>
    <xdr:to>
      <xdr:col>17</xdr:col>
      <xdr:colOff>459328</xdr:colOff>
      <xdr:row>3</xdr:row>
      <xdr:rowOff>127006</xdr:rowOff>
    </xdr:to>
    <xdr:pic>
      <xdr:nvPicPr>
        <xdr:cNvPr id="6" name="Picture 5">
          <a:hlinkClick xmlns:r="http://schemas.openxmlformats.org/officeDocument/2006/relationships" r:id="rId6"/>
          <a:extLst>
            <a:ext uri="{FF2B5EF4-FFF2-40B4-BE49-F238E27FC236}">
              <a16:creationId xmlns:a16="http://schemas.microsoft.com/office/drawing/2014/main" id="{0CCA5A01-460B-4209-A805-68ADC1D34CFC}"/>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557695" y="90874"/>
          <a:ext cx="2264833" cy="5847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18</xdr:col>
      <xdr:colOff>19203</xdr:colOff>
      <xdr:row>0</xdr:row>
      <xdr:rowOff>80434</xdr:rowOff>
    </xdr:from>
    <xdr:to>
      <xdr:col>22</xdr:col>
      <xdr:colOff>300721</xdr:colOff>
      <xdr:row>3</xdr:row>
      <xdr:rowOff>135739</xdr:rowOff>
    </xdr:to>
    <xdr:pic>
      <xdr:nvPicPr>
        <xdr:cNvPr id="7" name="Picture 6">
          <a:hlinkClick xmlns:r="http://schemas.openxmlformats.org/officeDocument/2006/relationships" r:id="rId8"/>
          <a:extLst>
            <a:ext uri="{FF2B5EF4-FFF2-40B4-BE49-F238E27FC236}">
              <a16:creationId xmlns:a16="http://schemas.microsoft.com/office/drawing/2014/main" id="{2E698254-D709-4B1F-9BEC-957C8B62CA6A}"/>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extLst>
            <a:ext uri="{BEBA8EAE-BF5A-486C-A8C5-ECC9F3942E4B}">
              <a14:imgProps xmlns:a14="http://schemas.microsoft.com/office/drawing/2010/main">
                <a14:imgLayer r:embed="rId10">
                  <a14:imgEffect>
                    <a14:colorTemperature colorTemp="112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10992003" y="80434"/>
          <a:ext cx="2719918" cy="6039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28</xdr:col>
      <xdr:colOff>486010</xdr:colOff>
      <xdr:row>30</xdr:row>
      <xdr:rowOff>56471</xdr:rowOff>
    </xdr:from>
    <xdr:to>
      <xdr:col>31</xdr:col>
      <xdr:colOff>486010</xdr:colOff>
      <xdr:row>66</xdr:row>
      <xdr:rowOff>10438</xdr:rowOff>
    </xdr:to>
    <mc:AlternateContent xmlns:mc="http://schemas.openxmlformats.org/markup-compatibility/2006" xmlns:a14="http://schemas.microsoft.com/office/drawing/2010/main">
      <mc:Choice Requires="a14">
        <xdr:graphicFrame macro="">
          <xdr:nvGraphicFramePr>
            <xdr:cNvPr id="8" name="month 4">
              <a:extLst>
                <a:ext uri="{FF2B5EF4-FFF2-40B4-BE49-F238E27FC236}">
                  <a16:creationId xmlns:a16="http://schemas.microsoft.com/office/drawing/2014/main" id="{B4B83E1C-369B-46A2-A9CD-EF1571C1D7A6}"/>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7437900" y="5693183"/>
              <a:ext cx="1816274" cy="671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553232</xdr:colOff>
      <xdr:row>4</xdr:row>
      <xdr:rowOff>142484</xdr:rowOff>
    </xdr:from>
    <xdr:to>
      <xdr:col>31</xdr:col>
      <xdr:colOff>432669</xdr:colOff>
      <xdr:row>15</xdr:row>
      <xdr:rowOff>93945</xdr:rowOff>
    </xdr:to>
    <mc:AlternateContent xmlns:mc="http://schemas.openxmlformats.org/markup-compatibility/2006" xmlns:a14="http://schemas.microsoft.com/office/drawing/2010/main">
      <mc:Choice Requires="a14">
        <xdr:graphicFrame macro="">
          <xdr:nvGraphicFramePr>
            <xdr:cNvPr id="9" name="seller 4">
              <a:extLst>
                <a:ext uri="{FF2B5EF4-FFF2-40B4-BE49-F238E27FC236}">
                  <a16:creationId xmlns:a16="http://schemas.microsoft.com/office/drawing/2014/main" id="{2E2AE918-2533-4BAE-879F-D5F5D3B23BC5}"/>
                </a:ext>
              </a:extLst>
            </xdr:cNvPr>
            <xdr:cNvGraphicFramePr/>
          </xdr:nvGraphicFramePr>
          <xdr:xfrm>
            <a:off x="0" y="0"/>
            <a:ext cx="0" cy="0"/>
          </xdr:xfrm>
          <a:graphic>
            <a:graphicData uri="http://schemas.microsoft.com/office/drawing/2010/slicer">
              <sle:slicer xmlns:sle="http://schemas.microsoft.com/office/drawing/2010/slicer" name="seller 4"/>
            </a:graphicData>
          </a:graphic>
        </xdr:graphicFrame>
      </mc:Choice>
      <mc:Fallback xmlns="">
        <xdr:sp macro="" textlink="">
          <xdr:nvSpPr>
            <xdr:cNvPr id="0" name=""/>
            <xdr:cNvSpPr>
              <a:spLocks noTextEdit="1"/>
            </xdr:cNvSpPr>
          </xdr:nvSpPr>
          <xdr:spPr>
            <a:xfrm>
              <a:off x="17505122" y="894046"/>
              <a:ext cx="1695711" cy="2018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465655</xdr:colOff>
      <xdr:row>4</xdr:row>
      <xdr:rowOff>52192</xdr:rowOff>
    </xdr:from>
    <xdr:to>
      <xdr:col>5</xdr:col>
      <xdr:colOff>465655</xdr:colOff>
      <xdr:row>66</xdr:row>
      <xdr:rowOff>1</xdr:rowOff>
    </xdr:to>
    <mc:AlternateContent xmlns:mc="http://schemas.openxmlformats.org/markup-compatibility/2006" xmlns:a14="http://schemas.microsoft.com/office/drawing/2010/main">
      <mc:Choice Requires="a14">
        <xdr:graphicFrame macro="">
          <xdr:nvGraphicFramePr>
            <xdr:cNvPr id="10" name="product 4">
              <a:extLst>
                <a:ext uri="{FF2B5EF4-FFF2-40B4-BE49-F238E27FC236}">
                  <a16:creationId xmlns:a16="http://schemas.microsoft.com/office/drawing/2014/main" id="{3E4074B2-35AE-4E0B-84F8-66B3D491A3B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676504" y="803754"/>
              <a:ext cx="1816274" cy="1159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104384</xdr:colOff>
      <xdr:row>43</xdr:row>
      <xdr:rowOff>31316</xdr:rowOff>
    </xdr:from>
    <xdr:to>
      <xdr:col>2</xdr:col>
      <xdr:colOff>371084</xdr:colOff>
      <xdr:row>66</xdr:row>
      <xdr:rowOff>10439</xdr:rowOff>
    </xdr:to>
    <mc:AlternateContent xmlns:mc="http://schemas.openxmlformats.org/markup-compatibility/2006" xmlns:a14="http://schemas.microsoft.com/office/drawing/2010/main">
      <mc:Choice Requires="a14">
        <xdr:graphicFrame macro="">
          <xdr:nvGraphicFramePr>
            <xdr:cNvPr id="11" name="payment_mode 4">
              <a:extLst>
                <a:ext uri="{FF2B5EF4-FFF2-40B4-BE49-F238E27FC236}">
                  <a16:creationId xmlns:a16="http://schemas.microsoft.com/office/drawing/2014/main" id="{CB9FD590-120E-465B-9EEA-857717D2D970}"/>
                </a:ext>
              </a:extLst>
            </xdr:cNvPr>
            <xdr:cNvGraphicFramePr/>
          </xdr:nvGraphicFramePr>
          <xdr:xfrm>
            <a:off x="0" y="0"/>
            <a:ext cx="0" cy="0"/>
          </xdr:xfrm>
          <a:graphic>
            <a:graphicData uri="http://schemas.microsoft.com/office/drawing/2010/slicer">
              <sle:slicer xmlns:sle="http://schemas.microsoft.com/office/drawing/2010/slicer" name="payment_mode 4"/>
            </a:graphicData>
          </a:graphic>
        </xdr:graphicFrame>
      </mc:Choice>
      <mc:Fallback xmlns="">
        <xdr:sp macro="" textlink="">
          <xdr:nvSpPr>
            <xdr:cNvPr id="0" name=""/>
            <xdr:cNvSpPr>
              <a:spLocks noTextEdit="1"/>
            </xdr:cNvSpPr>
          </xdr:nvSpPr>
          <xdr:spPr>
            <a:xfrm>
              <a:off x="104384" y="8110604"/>
              <a:ext cx="1477549" cy="430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4</xdr:row>
      <xdr:rowOff>38098</xdr:rowOff>
    </xdr:from>
    <xdr:to>
      <xdr:col>2</xdr:col>
      <xdr:colOff>327660</xdr:colOff>
      <xdr:row>42</xdr:row>
      <xdr:rowOff>0</xdr:rowOff>
    </xdr:to>
    <mc:AlternateContent xmlns:mc="http://schemas.openxmlformats.org/markup-compatibility/2006" xmlns:a14="http://schemas.microsoft.com/office/drawing/2010/main">
      <mc:Choice Requires="a14">
        <xdr:graphicFrame macro="">
          <xdr:nvGraphicFramePr>
            <xdr:cNvPr id="12" name="customer_location 4">
              <a:extLst>
                <a:ext uri="{FF2B5EF4-FFF2-40B4-BE49-F238E27FC236}">
                  <a16:creationId xmlns:a16="http://schemas.microsoft.com/office/drawing/2014/main" id="{8758CB52-375A-4957-936F-4A015C145EA2}"/>
                </a:ext>
              </a:extLst>
            </xdr:cNvPr>
            <xdr:cNvGraphicFramePr/>
          </xdr:nvGraphicFramePr>
          <xdr:xfrm>
            <a:off x="0" y="0"/>
            <a:ext cx="0" cy="0"/>
          </xdr:xfrm>
          <a:graphic>
            <a:graphicData uri="http://schemas.microsoft.com/office/drawing/2010/slicer">
              <sle:slicer xmlns:sle="http://schemas.microsoft.com/office/drawing/2010/slicer" name="customer_location 4"/>
            </a:graphicData>
          </a:graphic>
        </xdr:graphicFrame>
      </mc:Choice>
      <mc:Fallback xmlns="">
        <xdr:sp macro="" textlink="">
          <xdr:nvSpPr>
            <xdr:cNvPr id="0" name=""/>
            <xdr:cNvSpPr>
              <a:spLocks noTextEdit="1"/>
            </xdr:cNvSpPr>
          </xdr:nvSpPr>
          <xdr:spPr>
            <a:xfrm>
              <a:off x="53340" y="789660"/>
              <a:ext cx="1485169" cy="710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516908</xdr:colOff>
      <xdr:row>15</xdr:row>
      <xdr:rowOff>186220</xdr:rowOff>
    </xdr:from>
    <xdr:to>
      <xdr:col>31</xdr:col>
      <xdr:colOff>516908</xdr:colOff>
      <xdr:row>29</xdr:row>
      <xdr:rowOff>87864</xdr:rowOff>
    </xdr:to>
    <mc:AlternateContent xmlns:mc="http://schemas.openxmlformats.org/markup-compatibility/2006" xmlns:a14="http://schemas.microsoft.com/office/drawing/2010/main">
      <mc:Choice Requires="a14">
        <xdr:graphicFrame macro="">
          <xdr:nvGraphicFramePr>
            <xdr:cNvPr id="13" name="delivery_status 4">
              <a:extLst>
                <a:ext uri="{FF2B5EF4-FFF2-40B4-BE49-F238E27FC236}">
                  <a16:creationId xmlns:a16="http://schemas.microsoft.com/office/drawing/2014/main" id="{6D020E88-8414-4E08-9B73-CF394221A0FB}"/>
                </a:ext>
              </a:extLst>
            </xdr:cNvPr>
            <xdr:cNvGraphicFramePr/>
          </xdr:nvGraphicFramePr>
          <xdr:xfrm>
            <a:off x="0" y="0"/>
            <a:ext cx="0" cy="0"/>
          </xdr:xfrm>
          <a:graphic>
            <a:graphicData uri="http://schemas.microsoft.com/office/drawing/2010/slicer">
              <sle:slicer xmlns:sle="http://schemas.microsoft.com/office/drawing/2010/slicer" name="delivery_status 4"/>
            </a:graphicData>
          </a:graphic>
        </xdr:graphicFrame>
      </mc:Choice>
      <mc:Fallback xmlns="">
        <xdr:sp macro="" textlink="">
          <xdr:nvSpPr>
            <xdr:cNvPr id="0" name=""/>
            <xdr:cNvSpPr>
              <a:spLocks noTextEdit="1"/>
            </xdr:cNvSpPr>
          </xdr:nvSpPr>
          <xdr:spPr>
            <a:xfrm>
              <a:off x="17468798" y="3004576"/>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6784</xdr:colOff>
      <xdr:row>4</xdr:row>
      <xdr:rowOff>104383</xdr:rowOff>
    </xdr:from>
    <xdr:to>
      <xdr:col>14</xdr:col>
      <xdr:colOff>20876</xdr:colOff>
      <xdr:row>24</xdr:row>
      <xdr:rowOff>104383</xdr:rowOff>
    </xdr:to>
    <xdr:graphicFrame macro="">
      <xdr:nvGraphicFramePr>
        <xdr:cNvPr id="19" name="Chart 18">
          <a:extLst>
            <a:ext uri="{FF2B5EF4-FFF2-40B4-BE49-F238E27FC236}">
              <a16:creationId xmlns:a16="http://schemas.microsoft.com/office/drawing/2014/main" id="{9FA2D255-2631-465E-BFBA-09411A5FA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24008</xdr:colOff>
      <xdr:row>26</xdr:row>
      <xdr:rowOff>41753</xdr:rowOff>
    </xdr:from>
    <xdr:to>
      <xdr:col>14</xdr:col>
      <xdr:colOff>114822</xdr:colOff>
      <xdr:row>45</xdr:row>
      <xdr:rowOff>146137</xdr:rowOff>
    </xdr:to>
    <xdr:graphicFrame macro="">
      <xdr:nvGraphicFramePr>
        <xdr:cNvPr id="20" name="Chart 19">
          <a:extLst>
            <a:ext uri="{FF2B5EF4-FFF2-40B4-BE49-F238E27FC236}">
              <a16:creationId xmlns:a16="http://schemas.microsoft.com/office/drawing/2014/main" id="{8250BCB4-2A0F-4D96-9F74-B7B0F1B28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292275</xdr:colOff>
      <xdr:row>26</xdr:row>
      <xdr:rowOff>132148</xdr:rowOff>
    </xdr:from>
    <xdr:to>
      <xdr:col>28</xdr:col>
      <xdr:colOff>302714</xdr:colOff>
      <xdr:row>46</xdr:row>
      <xdr:rowOff>135699</xdr:rowOff>
    </xdr:to>
    <xdr:graphicFrame macro="">
      <xdr:nvGraphicFramePr>
        <xdr:cNvPr id="21" name="Chart 20">
          <a:extLst>
            <a:ext uri="{FF2B5EF4-FFF2-40B4-BE49-F238E27FC236}">
              <a16:creationId xmlns:a16="http://schemas.microsoft.com/office/drawing/2014/main" id="{85302546-F4C6-40CE-A3D4-B4B586006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10438</xdr:colOff>
      <xdr:row>46</xdr:row>
      <xdr:rowOff>146137</xdr:rowOff>
    </xdr:from>
    <xdr:to>
      <xdr:col>28</xdr:col>
      <xdr:colOff>344466</xdr:colOff>
      <xdr:row>66</xdr:row>
      <xdr:rowOff>25574</xdr:rowOff>
    </xdr:to>
    <xdr:graphicFrame macro="">
      <xdr:nvGraphicFramePr>
        <xdr:cNvPr id="22" name="Chart 21">
          <a:extLst>
            <a:ext uri="{FF2B5EF4-FFF2-40B4-BE49-F238E27FC236}">
              <a16:creationId xmlns:a16="http://schemas.microsoft.com/office/drawing/2014/main" id="{BEE189BF-B8E0-4212-8179-D5465CD7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159809</xdr:colOff>
      <xdr:row>4</xdr:row>
      <xdr:rowOff>178496</xdr:rowOff>
    </xdr:from>
    <xdr:to>
      <xdr:col>28</xdr:col>
      <xdr:colOff>344465</xdr:colOff>
      <xdr:row>24</xdr:row>
      <xdr:rowOff>135698</xdr:rowOff>
    </xdr:to>
    <xdr:graphicFrame macro="">
      <xdr:nvGraphicFramePr>
        <xdr:cNvPr id="23" name="Chart 22">
          <a:extLst>
            <a:ext uri="{FF2B5EF4-FFF2-40B4-BE49-F238E27FC236}">
              <a16:creationId xmlns:a16="http://schemas.microsoft.com/office/drawing/2014/main" id="{0A99CF10-6B33-44A7-8D82-77DF2DCBD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37</xdr:row>
      <xdr:rowOff>125730</xdr:rowOff>
    </xdr:from>
    <xdr:to>
      <xdr:col>5</xdr:col>
      <xdr:colOff>45720</xdr:colOff>
      <xdr:row>52</xdr:row>
      <xdr:rowOff>125730</xdr:rowOff>
    </xdr:to>
    <xdr:graphicFrame macro="">
      <xdr:nvGraphicFramePr>
        <xdr:cNvPr id="2" name="Chart 1">
          <a:extLst>
            <a:ext uri="{FF2B5EF4-FFF2-40B4-BE49-F238E27FC236}">
              <a16:creationId xmlns:a16="http://schemas.microsoft.com/office/drawing/2014/main" id="{374A772E-92C0-F178-B2BF-E1BB06811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102870</xdr:rowOff>
    </xdr:from>
    <xdr:to>
      <xdr:col>5</xdr:col>
      <xdr:colOff>45720</xdr:colOff>
      <xdr:row>64</xdr:row>
      <xdr:rowOff>102870</xdr:rowOff>
    </xdr:to>
    <xdr:graphicFrame macro="">
      <xdr:nvGraphicFramePr>
        <xdr:cNvPr id="3" name="Chart 2">
          <a:extLst>
            <a:ext uri="{FF2B5EF4-FFF2-40B4-BE49-F238E27FC236}">
              <a16:creationId xmlns:a16="http://schemas.microsoft.com/office/drawing/2014/main" id="{E7BBF699-30BE-D51A-8274-AE050791B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95250</xdr:rowOff>
    </xdr:from>
    <xdr:to>
      <xdr:col>5</xdr:col>
      <xdr:colOff>45720</xdr:colOff>
      <xdr:row>79</xdr:row>
      <xdr:rowOff>95250</xdr:rowOff>
    </xdr:to>
    <xdr:graphicFrame macro="">
      <xdr:nvGraphicFramePr>
        <xdr:cNvPr id="4" name="Chart 3">
          <a:extLst>
            <a:ext uri="{FF2B5EF4-FFF2-40B4-BE49-F238E27FC236}">
              <a16:creationId xmlns:a16="http://schemas.microsoft.com/office/drawing/2014/main" id="{CC3C22F1-CB0A-F4C1-0CA9-D13A88D99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99060</xdr:colOff>
      <xdr:row>79</xdr:row>
      <xdr:rowOff>125730</xdr:rowOff>
    </xdr:from>
    <xdr:to>
      <xdr:col>10</xdr:col>
      <xdr:colOff>579120</xdr:colOff>
      <xdr:row>94</xdr:row>
      <xdr:rowOff>125730</xdr:rowOff>
    </xdr:to>
    <xdr:graphicFrame macro="">
      <xdr:nvGraphicFramePr>
        <xdr:cNvPr id="5" name="Chart 4">
          <a:extLst>
            <a:ext uri="{FF2B5EF4-FFF2-40B4-BE49-F238E27FC236}">
              <a16:creationId xmlns:a16="http://schemas.microsoft.com/office/drawing/2014/main" id="{0DA090F0-8EC8-F9C2-C41E-6AB84B492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80010</xdr:rowOff>
    </xdr:from>
    <xdr:to>
      <xdr:col>5</xdr:col>
      <xdr:colOff>45720</xdr:colOff>
      <xdr:row>39</xdr:row>
      <xdr:rowOff>80010</xdr:rowOff>
    </xdr:to>
    <xdr:graphicFrame macro="">
      <xdr:nvGraphicFramePr>
        <xdr:cNvPr id="6" name="Chart 5">
          <a:extLst>
            <a:ext uri="{FF2B5EF4-FFF2-40B4-BE49-F238E27FC236}">
              <a16:creationId xmlns:a16="http://schemas.microsoft.com/office/drawing/2014/main" id="{055D69D3-2156-FBD8-DCCB-05B6D29E2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739140</xdr:colOff>
      <xdr:row>45</xdr:row>
      <xdr:rowOff>15240</xdr:rowOff>
    </xdr:from>
    <xdr:to>
      <xdr:col>8</xdr:col>
      <xdr:colOff>0</xdr:colOff>
      <xdr:row>58</xdr:row>
      <xdr:rowOff>104775</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0CD07A1B-9C71-017D-53AF-594DD1B0C17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265420" y="824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45</xdr:row>
      <xdr:rowOff>30480</xdr:rowOff>
    </xdr:from>
    <xdr:to>
      <xdr:col>9</xdr:col>
      <xdr:colOff>937260</xdr:colOff>
      <xdr:row>58</xdr:row>
      <xdr:rowOff>120015</xdr:rowOff>
    </xdr:to>
    <mc:AlternateContent xmlns:mc="http://schemas.openxmlformats.org/markup-compatibility/2006" xmlns:a14="http://schemas.microsoft.com/office/drawing/2010/main">
      <mc:Choice Requires="a14">
        <xdr:graphicFrame macro="">
          <xdr:nvGraphicFramePr>
            <xdr:cNvPr id="8" name="seller 1">
              <a:extLst>
                <a:ext uri="{FF2B5EF4-FFF2-40B4-BE49-F238E27FC236}">
                  <a16:creationId xmlns:a16="http://schemas.microsoft.com/office/drawing/2014/main" id="{FFEBBA5A-1F32-4870-7E44-88F37E3F079F}"/>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7178040" y="826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990600</xdr:colOff>
      <xdr:row>45</xdr:row>
      <xdr:rowOff>45720</xdr:rowOff>
    </xdr:from>
    <xdr:to>
      <xdr:col>11</xdr:col>
      <xdr:colOff>861060</xdr:colOff>
      <xdr:row>58</xdr:row>
      <xdr:rowOff>135255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9EBE3670-50AD-85B5-0750-8E1C7DF72A6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060180" y="827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45</xdr:row>
      <xdr:rowOff>60960</xdr:rowOff>
    </xdr:from>
    <xdr:to>
      <xdr:col>18</xdr:col>
      <xdr:colOff>358140</xdr:colOff>
      <xdr:row>58</xdr:row>
      <xdr:rowOff>150495</xdr:rowOff>
    </xdr:to>
    <mc:AlternateContent xmlns:mc="http://schemas.openxmlformats.org/markup-compatibility/2006" xmlns:a14="http://schemas.microsoft.com/office/drawing/2010/main">
      <mc:Choice Requires="a14">
        <xdr:graphicFrame macro="">
          <xdr:nvGraphicFramePr>
            <xdr:cNvPr id="10" name="payment_mode 1">
              <a:extLst>
                <a:ext uri="{FF2B5EF4-FFF2-40B4-BE49-F238E27FC236}">
                  <a16:creationId xmlns:a16="http://schemas.microsoft.com/office/drawing/2014/main" id="{91441C17-7EFC-2E06-9AB2-73A105CAAA75}"/>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4782800" y="829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967740</xdr:colOff>
      <xdr:row>45</xdr:row>
      <xdr:rowOff>45720</xdr:rowOff>
    </xdr:from>
    <xdr:to>
      <xdr:col>14</xdr:col>
      <xdr:colOff>114300</xdr:colOff>
      <xdr:row>58</xdr:row>
      <xdr:rowOff>135255</xdr:rowOff>
    </xdr:to>
    <mc:AlternateContent xmlns:mc="http://schemas.openxmlformats.org/markup-compatibility/2006" xmlns:a14="http://schemas.microsoft.com/office/drawing/2010/main">
      <mc:Choice Requires="a14">
        <xdr:graphicFrame macro="">
          <xdr:nvGraphicFramePr>
            <xdr:cNvPr id="11" name="delivery_status 1">
              <a:extLst>
                <a:ext uri="{FF2B5EF4-FFF2-40B4-BE49-F238E27FC236}">
                  <a16:creationId xmlns:a16="http://schemas.microsoft.com/office/drawing/2014/main" id="{ADBAA2E1-BCF5-AD95-8BB8-581612CAE1FB}"/>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10995660" y="827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182880</xdr:colOff>
      <xdr:row>45</xdr:row>
      <xdr:rowOff>68580</xdr:rowOff>
    </xdr:from>
    <xdr:to>
      <xdr:col>16</xdr:col>
      <xdr:colOff>175260</xdr:colOff>
      <xdr:row>58</xdr:row>
      <xdr:rowOff>158115</xdr:rowOff>
    </xdr:to>
    <mc:AlternateContent xmlns:mc="http://schemas.openxmlformats.org/markup-compatibility/2006" xmlns:a14="http://schemas.microsoft.com/office/drawing/2010/main">
      <mc:Choice Requires="a14">
        <xdr:graphicFrame macro="">
          <xdr:nvGraphicFramePr>
            <xdr:cNvPr id="12" name="customer_location 1">
              <a:extLst>
                <a:ext uri="{FF2B5EF4-FFF2-40B4-BE49-F238E27FC236}">
                  <a16:creationId xmlns:a16="http://schemas.microsoft.com/office/drawing/2014/main" id="{BC6BA462-DCCD-74C3-9FBB-41ABCCD526B1}"/>
                </a:ext>
              </a:extLst>
            </xdr:cNvPr>
            <xdr:cNvGraphicFramePr/>
          </xdr:nvGraphicFramePr>
          <xdr:xfrm>
            <a:off x="0" y="0"/>
            <a:ext cx="0" cy="0"/>
          </xdr:xfrm>
          <a:graphic>
            <a:graphicData uri="http://schemas.microsoft.com/office/drawing/2010/slicer">
              <sle:slicer xmlns:sle="http://schemas.microsoft.com/office/drawing/2010/slicer" name="customer_location 1"/>
            </a:graphicData>
          </a:graphic>
        </xdr:graphicFrame>
      </mc:Choice>
      <mc:Fallback xmlns="">
        <xdr:sp macro="" textlink="">
          <xdr:nvSpPr>
            <xdr:cNvPr id="0" name=""/>
            <xdr:cNvSpPr>
              <a:spLocks noTextEdit="1"/>
            </xdr:cNvSpPr>
          </xdr:nvSpPr>
          <xdr:spPr>
            <a:xfrm>
              <a:off x="12893040" y="829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46</xdr:row>
      <xdr:rowOff>95250</xdr:rowOff>
    </xdr:from>
    <xdr:to>
      <xdr:col>5</xdr:col>
      <xdr:colOff>129540</xdr:colOff>
      <xdr:row>61</xdr:row>
      <xdr:rowOff>95250</xdr:rowOff>
    </xdr:to>
    <xdr:graphicFrame macro="">
      <xdr:nvGraphicFramePr>
        <xdr:cNvPr id="2" name="Chart 1">
          <a:extLst>
            <a:ext uri="{FF2B5EF4-FFF2-40B4-BE49-F238E27FC236}">
              <a16:creationId xmlns:a16="http://schemas.microsoft.com/office/drawing/2014/main" id="{0A9BD410-E830-E2CD-B591-E9DC73901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62</xdr:row>
      <xdr:rowOff>80010</xdr:rowOff>
    </xdr:from>
    <xdr:to>
      <xdr:col>5</xdr:col>
      <xdr:colOff>167640</xdr:colOff>
      <xdr:row>77</xdr:row>
      <xdr:rowOff>80010</xdr:rowOff>
    </xdr:to>
    <xdr:graphicFrame macro="">
      <xdr:nvGraphicFramePr>
        <xdr:cNvPr id="3" name="Chart 2">
          <a:extLst>
            <a:ext uri="{FF2B5EF4-FFF2-40B4-BE49-F238E27FC236}">
              <a16:creationId xmlns:a16="http://schemas.microsoft.com/office/drawing/2014/main" id="{96E7C362-DBA1-59B6-5476-B60AB37B1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77</xdr:row>
      <xdr:rowOff>80010</xdr:rowOff>
    </xdr:from>
    <xdr:to>
      <xdr:col>5</xdr:col>
      <xdr:colOff>106680</xdr:colOff>
      <xdr:row>92</xdr:row>
      <xdr:rowOff>80010</xdr:rowOff>
    </xdr:to>
    <xdr:graphicFrame macro="">
      <xdr:nvGraphicFramePr>
        <xdr:cNvPr id="4" name="Chart 3">
          <a:extLst>
            <a:ext uri="{FF2B5EF4-FFF2-40B4-BE49-F238E27FC236}">
              <a16:creationId xmlns:a16="http://schemas.microsoft.com/office/drawing/2014/main" id="{198E2965-66F5-BE77-797A-722F7BAD4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92</xdr:row>
      <xdr:rowOff>102870</xdr:rowOff>
    </xdr:from>
    <xdr:to>
      <xdr:col>8</xdr:col>
      <xdr:colOff>312420</xdr:colOff>
      <xdr:row>107</xdr:row>
      <xdr:rowOff>102870</xdr:rowOff>
    </xdr:to>
    <xdr:graphicFrame macro="">
      <xdr:nvGraphicFramePr>
        <xdr:cNvPr id="5" name="Chart 4">
          <a:extLst>
            <a:ext uri="{FF2B5EF4-FFF2-40B4-BE49-F238E27FC236}">
              <a16:creationId xmlns:a16="http://schemas.microsoft.com/office/drawing/2014/main" id="{A0C9E1B4-516B-41EA-55FB-47B85FB22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60960</xdr:colOff>
      <xdr:row>107</xdr:row>
      <xdr:rowOff>140970</xdr:rowOff>
    </xdr:from>
    <xdr:to>
      <xdr:col>6</xdr:col>
      <xdr:colOff>114300</xdr:colOff>
      <xdr:row>122</xdr:row>
      <xdr:rowOff>140970</xdr:rowOff>
    </xdr:to>
    <xdr:graphicFrame macro="">
      <xdr:nvGraphicFramePr>
        <xdr:cNvPr id="6" name="Chart 5">
          <a:extLst>
            <a:ext uri="{FF2B5EF4-FFF2-40B4-BE49-F238E27FC236}">
              <a16:creationId xmlns:a16="http://schemas.microsoft.com/office/drawing/2014/main" id="{DA11D42E-F282-01F6-E51C-B99A6F3E2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49</xdr:row>
      <xdr:rowOff>163830</xdr:rowOff>
    </xdr:from>
    <xdr:to>
      <xdr:col>5</xdr:col>
      <xdr:colOff>106680</xdr:colOff>
      <xdr:row>64</xdr:row>
      <xdr:rowOff>163830</xdr:rowOff>
    </xdr:to>
    <xdr:graphicFrame macro="">
      <xdr:nvGraphicFramePr>
        <xdr:cNvPr id="2" name="Chart 1">
          <a:extLst>
            <a:ext uri="{FF2B5EF4-FFF2-40B4-BE49-F238E27FC236}">
              <a16:creationId xmlns:a16="http://schemas.microsoft.com/office/drawing/2014/main" id="{5878F50A-151D-32F9-C258-C5C70BF82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64</xdr:row>
      <xdr:rowOff>41910</xdr:rowOff>
    </xdr:from>
    <xdr:to>
      <xdr:col>5</xdr:col>
      <xdr:colOff>106680</xdr:colOff>
      <xdr:row>79</xdr:row>
      <xdr:rowOff>41910</xdr:rowOff>
    </xdr:to>
    <xdr:graphicFrame macro="">
      <xdr:nvGraphicFramePr>
        <xdr:cNvPr id="3" name="Chart 2">
          <a:extLst>
            <a:ext uri="{FF2B5EF4-FFF2-40B4-BE49-F238E27FC236}">
              <a16:creationId xmlns:a16="http://schemas.microsoft.com/office/drawing/2014/main" id="{A0C5EC61-FEAF-F44C-DA83-DE9C4E01D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79</xdr:row>
      <xdr:rowOff>19050</xdr:rowOff>
    </xdr:from>
    <xdr:to>
      <xdr:col>5</xdr:col>
      <xdr:colOff>106680</xdr:colOff>
      <xdr:row>94</xdr:row>
      <xdr:rowOff>19050</xdr:rowOff>
    </xdr:to>
    <xdr:graphicFrame macro="">
      <xdr:nvGraphicFramePr>
        <xdr:cNvPr id="4" name="Chart 3">
          <a:extLst>
            <a:ext uri="{FF2B5EF4-FFF2-40B4-BE49-F238E27FC236}">
              <a16:creationId xmlns:a16="http://schemas.microsoft.com/office/drawing/2014/main" id="{FA12CC00-8006-8DE9-1288-C2859895F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95</xdr:row>
      <xdr:rowOff>140970</xdr:rowOff>
    </xdr:from>
    <xdr:to>
      <xdr:col>7</xdr:col>
      <xdr:colOff>342900</xdr:colOff>
      <xdr:row>110</xdr:row>
      <xdr:rowOff>140970</xdr:rowOff>
    </xdr:to>
    <xdr:graphicFrame macro="">
      <xdr:nvGraphicFramePr>
        <xdr:cNvPr id="5" name="Chart 4">
          <a:extLst>
            <a:ext uri="{FF2B5EF4-FFF2-40B4-BE49-F238E27FC236}">
              <a16:creationId xmlns:a16="http://schemas.microsoft.com/office/drawing/2014/main" id="{9F69512C-4455-F2DA-7F3F-9404D60E9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110</xdr:row>
      <xdr:rowOff>133350</xdr:rowOff>
    </xdr:from>
    <xdr:to>
      <xdr:col>5</xdr:col>
      <xdr:colOff>106680</xdr:colOff>
      <xdr:row>125</xdr:row>
      <xdr:rowOff>133350</xdr:rowOff>
    </xdr:to>
    <xdr:graphicFrame macro="">
      <xdr:nvGraphicFramePr>
        <xdr:cNvPr id="6" name="Chart 5">
          <a:extLst>
            <a:ext uri="{FF2B5EF4-FFF2-40B4-BE49-F238E27FC236}">
              <a16:creationId xmlns:a16="http://schemas.microsoft.com/office/drawing/2014/main" id="{8886D286-8F14-86A4-4C8D-A7430A865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29</xdr:row>
      <xdr:rowOff>83820</xdr:rowOff>
    </xdr:from>
    <xdr:to>
      <xdr:col>3</xdr:col>
      <xdr:colOff>586740</xdr:colOff>
      <xdr:row>46</xdr:row>
      <xdr:rowOff>30480</xdr:rowOff>
    </xdr:to>
    <xdr:graphicFrame macro="">
      <xdr:nvGraphicFramePr>
        <xdr:cNvPr id="2" name="Chart 1">
          <a:extLst>
            <a:ext uri="{FF2B5EF4-FFF2-40B4-BE49-F238E27FC236}">
              <a16:creationId xmlns:a16="http://schemas.microsoft.com/office/drawing/2014/main" id="{329FF691-9822-81A2-CE27-C621AF59D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46</xdr:row>
      <xdr:rowOff>64770</xdr:rowOff>
    </xdr:from>
    <xdr:to>
      <xdr:col>5</xdr:col>
      <xdr:colOff>45720</xdr:colOff>
      <xdr:row>61</xdr:row>
      <xdr:rowOff>64770</xdr:rowOff>
    </xdr:to>
    <xdr:graphicFrame macro="">
      <xdr:nvGraphicFramePr>
        <xdr:cNvPr id="3" name="Chart 2">
          <a:extLst>
            <a:ext uri="{FF2B5EF4-FFF2-40B4-BE49-F238E27FC236}">
              <a16:creationId xmlns:a16="http://schemas.microsoft.com/office/drawing/2014/main" id="{2C663B4A-A02E-BE10-F654-46A46E0B7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556260</xdr:colOff>
      <xdr:row>50</xdr:row>
      <xdr:rowOff>34290</xdr:rowOff>
    </xdr:from>
    <xdr:to>
      <xdr:col>12</xdr:col>
      <xdr:colOff>845820</xdr:colOff>
      <xdr:row>65</xdr:row>
      <xdr:rowOff>34290</xdr:rowOff>
    </xdr:to>
    <xdr:graphicFrame macro="">
      <xdr:nvGraphicFramePr>
        <xdr:cNvPr id="4" name="Chart 3">
          <a:extLst>
            <a:ext uri="{FF2B5EF4-FFF2-40B4-BE49-F238E27FC236}">
              <a16:creationId xmlns:a16="http://schemas.microsoft.com/office/drawing/2014/main" id="{1B5E4D85-34C6-B5BF-4322-B82B7D923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617220</xdr:colOff>
      <xdr:row>68</xdr:row>
      <xdr:rowOff>95250</xdr:rowOff>
    </xdr:from>
    <xdr:to>
      <xdr:col>12</xdr:col>
      <xdr:colOff>701040</xdr:colOff>
      <xdr:row>83</xdr:row>
      <xdr:rowOff>95250</xdr:rowOff>
    </xdr:to>
    <xdr:graphicFrame macro="">
      <xdr:nvGraphicFramePr>
        <xdr:cNvPr id="5" name="Chart 4">
          <a:extLst>
            <a:ext uri="{FF2B5EF4-FFF2-40B4-BE49-F238E27FC236}">
              <a16:creationId xmlns:a16="http://schemas.microsoft.com/office/drawing/2014/main" id="{31762B01-54D1-2B46-667F-F672FE05C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43</xdr:row>
      <xdr:rowOff>140970</xdr:rowOff>
    </xdr:from>
    <xdr:to>
      <xdr:col>7</xdr:col>
      <xdr:colOff>419100</xdr:colOff>
      <xdr:row>58</xdr:row>
      <xdr:rowOff>140970</xdr:rowOff>
    </xdr:to>
    <xdr:graphicFrame macro="">
      <xdr:nvGraphicFramePr>
        <xdr:cNvPr id="6" name="Chart 5">
          <a:extLst>
            <a:ext uri="{FF2B5EF4-FFF2-40B4-BE49-F238E27FC236}">
              <a16:creationId xmlns:a16="http://schemas.microsoft.com/office/drawing/2014/main" id="{999DCDAF-510E-DF99-DA2D-A1F4D57CC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198120</xdr:colOff>
      <xdr:row>89</xdr:row>
      <xdr:rowOff>53340</xdr:rowOff>
    </xdr:from>
    <xdr:to>
      <xdr:col>1</xdr:col>
      <xdr:colOff>922020</xdr:colOff>
      <xdr:row>102</xdr:row>
      <xdr:rowOff>142875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83DE2D27-E7D3-5A40-EE8F-A5ED5C76AA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120" y="1632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464820</xdr:colOff>
      <xdr:row>89</xdr:row>
      <xdr:rowOff>45720</xdr:rowOff>
    </xdr:from>
    <xdr:to>
      <xdr:col>6</xdr:col>
      <xdr:colOff>220980</xdr:colOff>
      <xdr:row>102</xdr:row>
      <xdr:rowOff>135255</xdr:rowOff>
    </xdr:to>
    <mc:AlternateContent xmlns:mc="http://schemas.openxmlformats.org/markup-compatibility/2006" xmlns:a14="http://schemas.microsoft.com/office/drawing/2010/main">
      <mc:Choice Requires="a14">
        <xdr:graphicFrame macro="">
          <xdr:nvGraphicFramePr>
            <xdr:cNvPr id="8" name="seller">
              <a:extLst>
                <a:ext uri="{FF2B5EF4-FFF2-40B4-BE49-F238E27FC236}">
                  <a16:creationId xmlns:a16="http://schemas.microsoft.com/office/drawing/2014/main" id="{15F52D88-9FC5-8E42-AB28-02342AB16C40}"/>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4015740" y="1632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89</xdr:row>
      <xdr:rowOff>53340</xdr:rowOff>
    </xdr:from>
    <xdr:to>
      <xdr:col>8</xdr:col>
      <xdr:colOff>678180</xdr:colOff>
      <xdr:row>102</xdr:row>
      <xdr:rowOff>142875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56B4E6C-A7FA-FD3B-0B12-89378FA0539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943600" y="1632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xdr:colOff>
      <xdr:row>89</xdr:row>
      <xdr:rowOff>38100</xdr:rowOff>
    </xdr:from>
    <xdr:to>
      <xdr:col>4</xdr:col>
      <xdr:colOff>388620</xdr:colOff>
      <xdr:row>102</xdr:row>
      <xdr:rowOff>127635</xdr:rowOff>
    </xdr:to>
    <mc:AlternateContent xmlns:mc="http://schemas.openxmlformats.org/markup-compatibility/2006" xmlns:a14="http://schemas.microsoft.com/office/drawing/2010/main">
      <mc:Choice Requires="a14">
        <xdr:graphicFrame macro="">
          <xdr:nvGraphicFramePr>
            <xdr:cNvPr id="10" name="payment_mode">
              <a:extLst>
                <a:ext uri="{FF2B5EF4-FFF2-40B4-BE49-F238E27FC236}">
                  <a16:creationId xmlns:a16="http://schemas.microsoft.com/office/drawing/2014/main" id="{A0039B96-3D04-3AB2-86A9-C7BBBFC95E0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110740" y="1631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754380</xdr:colOff>
      <xdr:row>89</xdr:row>
      <xdr:rowOff>60960</xdr:rowOff>
    </xdr:from>
    <xdr:to>
      <xdr:col>11</xdr:col>
      <xdr:colOff>137160</xdr:colOff>
      <xdr:row>102</xdr:row>
      <xdr:rowOff>150495</xdr:rowOff>
    </xdr:to>
    <mc:AlternateContent xmlns:mc="http://schemas.openxmlformats.org/markup-compatibility/2006" xmlns:a14="http://schemas.microsoft.com/office/drawing/2010/main">
      <mc:Choice Requires="a14">
        <xdr:graphicFrame macro="">
          <xdr:nvGraphicFramePr>
            <xdr:cNvPr id="11" name="customer_location">
              <a:extLst>
                <a:ext uri="{FF2B5EF4-FFF2-40B4-BE49-F238E27FC236}">
                  <a16:creationId xmlns:a16="http://schemas.microsoft.com/office/drawing/2014/main" id="{85B03ECD-CE41-F765-F271-B002D2771A6E}"/>
                </a:ext>
              </a:extLst>
            </xdr:cNvPr>
            <xdr:cNvGraphicFramePr/>
          </xdr:nvGraphicFramePr>
          <xdr:xfrm>
            <a:off x="0" y="0"/>
            <a:ext cx="0" cy="0"/>
          </xdr:xfrm>
          <a:graphic>
            <a:graphicData uri="http://schemas.microsoft.com/office/drawing/2010/slicer">
              <sle:slicer xmlns:sle="http://schemas.microsoft.com/office/drawing/2010/slicer" name="customer_location"/>
            </a:graphicData>
          </a:graphic>
        </xdr:graphicFrame>
      </mc:Choice>
      <mc:Fallback xmlns="">
        <xdr:sp macro="" textlink="">
          <xdr:nvSpPr>
            <xdr:cNvPr id="0" name=""/>
            <xdr:cNvSpPr>
              <a:spLocks noTextEdit="1"/>
            </xdr:cNvSpPr>
          </xdr:nvSpPr>
          <xdr:spPr>
            <a:xfrm>
              <a:off x="7848600" y="1633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89</xdr:row>
      <xdr:rowOff>68580</xdr:rowOff>
    </xdr:from>
    <xdr:to>
      <xdr:col>13</xdr:col>
      <xdr:colOff>15240</xdr:colOff>
      <xdr:row>102</xdr:row>
      <xdr:rowOff>158115</xdr:rowOff>
    </xdr:to>
    <mc:AlternateContent xmlns:mc="http://schemas.openxmlformats.org/markup-compatibility/2006" xmlns:a14="http://schemas.microsoft.com/office/drawing/2010/main">
      <mc:Choice Requires="a14">
        <xdr:graphicFrame macro="">
          <xdr:nvGraphicFramePr>
            <xdr:cNvPr id="12" name="delivery_status">
              <a:extLst>
                <a:ext uri="{FF2B5EF4-FFF2-40B4-BE49-F238E27FC236}">
                  <a16:creationId xmlns:a16="http://schemas.microsoft.com/office/drawing/2014/main" id="{811B01F8-8553-320B-E6AB-7C23E7320F40}"/>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9799320" y="1634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singh" refreshedDate="45901.352690624997" createdVersion="8" refreshedVersion="8" minRefreshableVersion="3" recordCount="700" xr:uid="{E675E900-2DB8-4708-98A4-76230FFE9007}">
  <cacheSource type="worksheet">
    <worksheetSource name="Table1"/>
  </cacheSource>
  <cacheFields count="16">
    <cacheField name="order_id" numFmtId="0">
      <sharedItems count="7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haredItems>
    </cacheField>
    <cacheField name="order_date" numFmtId="0">
      <sharedItems/>
    </cacheField>
    <cacheField name="month" numFmtId="0">
      <sharedItems count="12">
        <s v="March"/>
        <s v="April"/>
        <s v="November"/>
        <s v="January"/>
        <s v="December"/>
        <s v="February"/>
        <s v="July"/>
        <s v="May"/>
        <s v="June"/>
        <s v="October"/>
        <s v="August"/>
        <s v="September"/>
      </sharedItems>
    </cacheField>
    <cacheField name="year" numFmtId="0">
      <sharedItems containsSemiMixedTypes="0" containsString="0" containsNumber="1" containsInteger="1" minValue="2024" maxValue="2025"/>
    </cacheField>
    <cacheField name="cust_id" numFmtId="0">
      <sharedItems/>
    </cacheField>
    <cacheField name="cust_name" numFmtId="0">
      <sharedItems/>
    </cacheField>
    <cacheField name="seller" numFmtId="0">
      <sharedItems count="3">
        <s v="GlowMart"/>
        <s v="CosmoStore"/>
        <s v="BeautyHub"/>
      </sharedItems>
    </cacheField>
    <cacheField name="brand" numFmtId="0">
      <sharedItems count="3">
        <s v="Nykaa"/>
        <s v="Lakme"/>
        <s v="Sugar"/>
      </sharedItems>
    </cacheField>
    <cacheField name="product" numFmtId="0">
      <sharedItems count="15">
        <s v="Nykaa Foundation"/>
        <s v="Lakme Compact"/>
        <s v="Lakme Blush"/>
        <s v="Nykaa Compact"/>
        <s v="Lakme Eyeliner"/>
        <s v="Sugar Eyeliner"/>
        <s v="Nykaa Blush"/>
        <s v="Sugar Blush"/>
        <s v="Sugar Foundation"/>
        <s v="Nykaa Eyeliner"/>
        <s v="Nykaa Lipstick"/>
        <s v="Sugar Compact"/>
        <s v="Sugar Lipstick"/>
        <s v="Lakme Lipstick"/>
        <s v="Lakme Foundation"/>
      </sharedItems>
    </cacheField>
    <cacheField name="price" numFmtId="0">
      <sharedItems containsSemiMixedTypes="0" containsString="0" containsNumber="1" containsInteger="1" minValue="202" maxValue="1497"/>
    </cacheField>
    <cacheField name="quantity" numFmtId="0">
      <sharedItems containsSemiMixedTypes="0" containsString="0" containsNumber="1" containsInteger="1" minValue="1" maxValue="5"/>
    </cacheField>
    <cacheField name="amount" numFmtId="0">
      <sharedItems containsSemiMixedTypes="0" containsString="0" containsNumber="1" containsInteger="1" minValue="220" maxValue="7470"/>
    </cacheField>
    <cacheField name="payment_mode" numFmtId="0">
      <sharedItems count="5">
        <s v="UPI"/>
        <s v="Debit Card"/>
        <s v="Cash on Delivery"/>
        <s v="Credit Card"/>
        <s v="Wallet"/>
      </sharedItems>
    </cacheField>
    <cacheField name="delivery_status" numFmtId="0">
      <sharedItems count="4">
        <s v="In Transit"/>
        <s v="Returned"/>
        <s v="Cancelled"/>
        <s v="Delivered"/>
      </sharedItems>
    </cacheField>
    <cacheField name="customer_location" numFmtId="0">
      <sharedItems count="8">
        <s v="Bangalore"/>
        <s v="Kolkata"/>
        <s v="Pune"/>
        <s v="Mumbai"/>
        <s v="Ahmedabad"/>
        <s v="Chennai"/>
        <s v="Delhi"/>
        <s v="Hyderabad"/>
      </sharedItems>
    </cacheField>
    <cacheField name="discount(%)" numFmtId="0">
      <sharedItems containsSemiMixedTypes="0" containsString="0" containsNumber="1" containsInteger="1" minValue="0" maxValue="30" count="31">
        <n v="24"/>
        <n v="2"/>
        <n v="26"/>
        <n v="28"/>
        <n v="22"/>
        <n v="0"/>
        <n v="4"/>
        <n v="6"/>
        <n v="13"/>
        <n v="14"/>
        <n v="27"/>
        <n v="9"/>
        <n v="30"/>
        <n v="15"/>
        <n v="25"/>
        <n v="8"/>
        <n v="20"/>
        <n v="29"/>
        <n v="21"/>
        <n v="16"/>
        <n v="11"/>
        <n v="3"/>
        <n v="10"/>
        <n v="17"/>
        <n v="12"/>
        <n v="7"/>
        <n v="5"/>
        <n v="1"/>
        <n v="23"/>
        <n v="18"/>
        <n v="19"/>
      </sharedItems>
    </cacheField>
  </cacheFields>
  <extLst>
    <ext xmlns:x14="http://schemas.microsoft.com/office/spreadsheetml/2009/9/main" uri="{725AE2AE-9491-48be-B2B4-4EB974FC3084}">
      <x14:pivotCacheDefinition pivotCacheId="229798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2025-03-24"/>
    <x v="0"/>
    <n v="2025"/>
    <s v="CUST193"/>
    <s v="Customer_60"/>
    <x v="0"/>
    <x v="0"/>
    <x v="0"/>
    <n v="884"/>
    <n v="2"/>
    <n v="1768"/>
    <x v="0"/>
    <x v="0"/>
    <x v="0"/>
    <x v="0"/>
  </r>
  <r>
    <x v="1"/>
    <s v="2025-04-21"/>
    <x v="1"/>
    <n v="2025"/>
    <s v="CUST298"/>
    <s v="Customer_182"/>
    <x v="0"/>
    <x v="0"/>
    <x v="0"/>
    <n v="1208"/>
    <n v="3"/>
    <n v="3624"/>
    <x v="1"/>
    <x v="1"/>
    <x v="1"/>
    <x v="1"/>
  </r>
  <r>
    <x v="2"/>
    <s v="2024-11-25"/>
    <x v="2"/>
    <n v="2024"/>
    <s v="CUST308"/>
    <s v="Customer_145"/>
    <x v="1"/>
    <x v="1"/>
    <x v="1"/>
    <n v="975"/>
    <n v="1"/>
    <n v="975"/>
    <x v="1"/>
    <x v="2"/>
    <x v="2"/>
    <x v="2"/>
  </r>
  <r>
    <x v="3"/>
    <s v="2024-01-01"/>
    <x v="3"/>
    <n v="2024"/>
    <s v="CUST936"/>
    <s v="Customer_150"/>
    <x v="2"/>
    <x v="1"/>
    <x v="2"/>
    <n v="1219"/>
    <n v="1"/>
    <n v="1219"/>
    <x v="0"/>
    <x v="3"/>
    <x v="0"/>
    <x v="3"/>
  </r>
  <r>
    <x v="4"/>
    <s v="2024-11-17"/>
    <x v="2"/>
    <n v="2024"/>
    <s v="CUST781"/>
    <s v="Customer_166"/>
    <x v="0"/>
    <x v="0"/>
    <x v="3"/>
    <n v="971"/>
    <n v="4"/>
    <n v="3884"/>
    <x v="2"/>
    <x v="2"/>
    <x v="3"/>
    <x v="4"/>
  </r>
  <r>
    <x v="5"/>
    <s v="2024-12-06"/>
    <x v="4"/>
    <n v="2024"/>
    <s v="CUST577"/>
    <s v="Customer_226"/>
    <x v="0"/>
    <x v="1"/>
    <x v="4"/>
    <n v="1184"/>
    <n v="3"/>
    <n v="3552"/>
    <x v="3"/>
    <x v="2"/>
    <x v="4"/>
    <x v="5"/>
  </r>
  <r>
    <x v="6"/>
    <s v="2024-11-21"/>
    <x v="2"/>
    <n v="2024"/>
    <s v="CUST838"/>
    <s v="Customer_73"/>
    <x v="0"/>
    <x v="1"/>
    <x v="4"/>
    <n v="830"/>
    <n v="3"/>
    <n v="2490"/>
    <x v="0"/>
    <x v="2"/>
    <x v="4"/>
    <x v="2"/>
  </r>
  <r>
    <x v="7"/>
    <s v="2024-12-24"/>
    <x v="4"/>
    <n v="2024"/>
    <s v="CUST643"/>
    <s v="Customer_120"/>
    <x v="1"/>
    <x v="2"/>
    <x v="5"/>
    <n v="237"/>
    <n v="2"/>
    <n v="474"/>
    <x v="3"/>
    <x v="0"/>
    <x v="2"/>
    <x v="6"/>
  </r>
  <r>
    <x v="8"/>
    <s v="2025-04-08"/>
    <x v="1"/>
    <n v="2025"/>
    <s v="CUST708"/>
    <s v="Customer_229"/>
    <x v="2"/>
    <x v="0"/>
    <x v="6"/>
    <n v="339"/>
    <n v="2"/>
    <n v="678"/>
    <x v="2"/>
    <x v="0"/>
    <x v="5"/>
    <x v="7"/>
  </r>
  <r>
    <x v="9"/>
    <s v="2024-11-27"/>
    <x v="2"/>
    <n v="2024"/>
    <s v="CUST772"/>
    <s v="Customer_138"/>
    <x v="2"/>
    <x v="2"/>
    <x v="7"/>
    <n v="1135"/>
    <n v="1"/>
    <n v="1135"/>
    <x v="2"/>
    <x v="0"/>
    <x v="6"/>
    <x v="8"/>
  </r>
  <r>
    <x v="10"/>
    <s v="2025-02-12"/>
    <x v="5"/>
    <n v="2025"/>
    <s v="CUST100"/>
    <s v="Customer_237"/>
    <x v="0"/>
    <x v="1"/>
    <x v="1"/>
    <n v="1309"/>
    <n v="3"/>
    <n v="3927"/>
    <x v="1"/>
    <x v="3"/>
    <x v="1"/>
    <x v="9"/>
  </r>
  <r>
    <x v="11"/>
    <s v="2025-07-06"/>
    <x v="6"/>
    <n v="2025"/>
    <s v="CUST523"/>
    <s v="Customer_269"/>
    <x v="0"/>
    <x v="2"/>
    <x v="5"/>
    <n v="673"/>
    <n v="4"/>
    <n v="2692"/>
    <x v="2"/>
    <x v="3"/>
    <x v="5"/>
    <x v="10"/>
  </r>
  <r>
    <x v="12"/>
    <s v="2024-05-04"/>
    <x v="7"/>
    <n v="2024"/>
    <s v="CUST597"/>
    <s v="Customer_145"/>
    <x v="1"/>
    <x v="2"/>
    <x v="8"/>
    <n v="366"/>
    <n v="2"/>
    <n v="732"/>
    <x v="3"/>
    <x v="0"/>
    <x v="6"/>
    <x v="11"/>
  </r>
  <r>
    <x v="13"/>
    <s v="2025-06-13"/>
    <x v="8"/>
    <n v="2025"/>
    <s v="CUST284"/>
    <s v="Customer_227"/>
    <x v="0"/>
    <x v="2"/>
    <x v="5"/>
    <n v="858"/>
    <n v="1"/>
    <n v="858"/>
    <x v="3"/>
    <x v="2"/>
    <x v="4"/>
    <x v="12"/>
  </r>
  <r>
    <x v="14"/>
    <s v="2024-07-20"/>
    <x v="6"/>
    <n v="2024"/>
    <s v="CUST970"/>
    <s v="Customer_110"/>
    <x v="0"/>
    <x v="2"/>
    <x v="7"/>
    <n v="1277"/>
    <n v="4"/>
    <n v="5108"/>
    <x v="3"/>
    <x v="1"/>
    <x v="0"/>
    <x v="1"/>
  </r>
  <r>
    <x v="15"/>
    <s v="2025-07-19"/>
    <x v="6"/>
    <n v="2025"/>
    <s v="CUST145"/>
    <s v="Customer_279"/>
    <x v="0"/>
    <x v="0"/>
    <x v="9"/>
    <n v="530"/>
    <n v="4"/>
    <n v="2120"/>
    <x v="0"/>
    <x v="2"/>
    <x v="2"/>
    <x v="13"/>
  </r>
  <r>
    <x v="16"/>
    <s v="2024-03-07"/>
    <x v="0"/>
    <n v="2024"/>
    <s v="CUST960"/>
    <s v="Customer_79"/>
    <x v="2"/>
    <x v="0"/>
    <x v="10"/>
    <n v="1210"/>
    <n v="4"/>
    <n v="4840"/>
    <x v="1"/>
    <x v="3"/>
    <x v="2"/>
    <x v="14"/>
  </r>
  <r>
    <x v="17"/>
    <s v="2024-10-27"/>
    <x v="9"/>
    <n v="2024"/>
    <s v="CUST376"/>
    <s v="Customer_213"/>
    <x v="2"/>
    <x v="2"/>
    <x v="11"/>
    <n v="1096"/>
    <n v="1"/>
    <n v="1096"/>
    <x v="3"/>
    <x v="3"/>
    <x v="2"/>
    <x v="15"/>
  </r>
  <r>
    <x v="18"/>
    <s v="2024-10-10"/>
    <x v="9"/>
    <n v="2024"/>
    <s v="CUST571"/>
    <s v="Customer_71"/>
    <x v="2"/>
    <x v="2"/>
    <x v="12"/>
    <n v="1262"/>
    <n v="3"/>
    <n v="3786"/>
    <x v="3"/>
    <x v="0"/>
    <x v="7"/>
    <x v="8"/>
  </r>
  <r>
    <x v="19"/>
    <s v="2024-04-16"/>
    <x v="1"/>
    <n v="2024"/>
    <s v="CUST709"/>
    <s v="Customer_97"/>
    <x v="0"/>
    <x v="1"/>
    <x v="13"/>
    <n v="430"/>
    <n v="5"/>
    <n v="2150"/>
    <x v="1"/>
    <x v="2"/>
    <x v="3"/>
    <x v="15"/>
  </r>
  <r>
    <x v="20"/>
    <s v="2024-03-01"/>
    <x v="0"/>
    <n v="2024"/>
    <s v="CUST486"/>
    <s v="Customer_182"/>
    <x v="0"/>
    <x v="2"/>
    <x v="11"/>
    <n v="831"/>
    <n v="2"/>
    <n v="1662"/>
    <x v="1"/>
    <x v="2"/>
    <x v="1"/>
    <x v="16"/>
  </r>
  <r>
    <x v="21"/>
    <s v="2025-08-08"/>
    <x v="10"/>
    <n v="2025"/>
    <s v="CUST848"/>
    <s v="Customer_86"/>
    <x v="2"/>
    <x v="0"/>
    <x v="9"/>
    <n v="1010"/>
    <n v="2"/>
    <n v="2020"/>
    <x v="4"/>
    <x v="1"/>
    <x v="0"/>
    <x v="15"/>
  </r>
  <r>
    <x v="22"/>
    <s v="2024-03-18"/>
    <x v="0"/>
    <n v="2024"/>
    <s v="CUST891"/>
    <s v="Customer_80"/>
    <x v="2"/>
    <x v="1"/>
    <x v="13"/>
    <n v="635"/>
    <n v="5"/>
    <n v="3175"/>
    <x v="1"/>
    <x v="1"/>
    <x v="3"/>
    <x v="15"/>
  </r>
  <r>
    <x v="23"/>
    <s v="2024-01-19"/>
    <x v="3"/>
    <n v="2024"/>
    <s v="CUST127"/>
    <s v="Customer_264"/>
    <x v="1"/>
    <x v="2"/>
    <x v="11"/>
    <n v="632"/>
    <n v="5"/>
    <n v="3160"/>
    <x v="4"/>
    <x v="2"/>
    <x v="0"/>
    <x v="17"/>
  </r>
  <r>
    <x v="24"/>
    <s v="2024-12-30"/>
    <x v="4"/>
    <n v="2024"/>
    <s v="CUST659"/>
    <s v="Customer_92"/>
    <x v="1"/>
    <x v="2"/>
    <x v="11"/>
    <n v="1371"/>
    <n v="4"/>
    <n v="5484"/>
    <x v="2"/>
    <x v="0"/>
    <x v="4"/>
    <x v="18"/>
  </r>
  <r>
    <x v="25"/>
    <s v="2024-08-28"/>
    <x v="10"/>
    <n v="2024"/>
    <s v="CUST613"/>
    <s v="Customer_194"/>
    <x v="0"/>
    <x v="1"/>
    <x v="13"/>
    <n v="1486"/>
    <n v="2"/>
    <n v="2972"/>
    <x v="4"/>
    <x v="0"/>
    <x v="4"/>
    <x v="15"/>
  </r>
  <r>
    <x v="26"/>
    <s v="2024-03-14"/>
    <x v="0"/>
    <n v="2024"/>
    <s v="CUST744"/>
    <s v="Customer_94"/>
    <x v="2"/>
    <x v="0"/>
    <x v="9"/>
    <n v="1434"/>
    <n v="4"/>
    <n v="5736"/>
    <x v="1"/>
    <x v="3"/>
    <x v="3"/>
    <x v="9"/>
  </r>
  <r>
    <x v="27"/>
    <s v="2024-02-26"/>
    <x v="5"/>
    <n v="2024"/>
    <s v="CUST624"/>
    <s v="Customer_194"/>
    <x v="1"/>
    <x v="1"/>
    <x v="13"/>
    <n v="481"/>
    <n v="5"/>
    <n v="2405"/>
    <x v="2"/>
    <x v="2"/>
    <x v="7"/>
    <x v="19"/>
  </r>
  <r>
    <x v="28"/>
    <s v="2024-03-15"/>
    <x v="0"/>
    <n v="2024"/>
    <s v="CUST614"/>
    <s v="Customer_238"/>
    <x v="0"/>
    <x v="2"/>
    <x v="5"/>
    <n v="1326"/>
    <n v="5"/>
    <n v="6630"/>
    <x v="0"/>
    <x v="2"/>
    <x v="6"/>
    <x v="20"/>
  </r>
  <r>
    <x v="29"/>
    <s v="2024-04-04"/>
    <x v="1"/>
    <n v="2024"/>
    <s v="CUST512"/>
    <s v="Customer_48"/>
    <x v="1"/>
    <x v="1"/>
    <x v="4"/>
    <n v="1117"/>
    <n v="2"/>
    <n v="2234"/>
    <x v="3"/>
    <x v="0"/>
    <x v="7"/>
    <x v="5"/>
  </r>
  <r>
    <x v="30"/>
    <s v="2024-11-03"/>
    <x v="2"/>
    <n v="2024"/>
    <s v="CUST594"/>
    <s v="Customer_117"/>
    <x v="0"/>
    <x v="0"/>
    <x v="6"/>
    <n v="775"/>
    <n v="4"/>
    <n v="3100"/>
    <x v="2"/>
    <x v="3"/>
    <x v="2"/>
    <x v="14"/>
  </r>
  <r>
    <x v="31"/>
    <s v="2025-07-26"/>
    <x v="6"/>
    <n v="2025"/>
    <s v="CUST703"/>
    <s v="Customer_120"/>
    <x v="2"/>
    <x v="1"/>
    <x v="13"/>
    <n v="356"/>
    <n v="1"/>
    <n v="356"/>
    <x v="1"/>
    <x v="2"/>
    <x v="4"/>
    <x v="21"/>
  </r>
  <r>
    <x v="32"/>
    <s v="2024-07-05"/>
    <x v="6"/>
    <n v="2024"/>
    <s v="CUST519"/>
    <s v="Customer_94"/>
    <x v="1"/>
    <x v="0"/>
    <x v="9"/>
    <n v="376"/>
    <n v="5"/>
    <n v="1880"/>
    <x v="2"/>
    <x v="0"/>
    <x v="3"/>
    <x v="22"/>
  </r>
  <r>
    <x v="33"/>
    <s v="2024-03-23"/>
    <x v="0"/>
    <n v="2024"/>
    <s v="CUST250"/>
    <s v="Customer_38"/>
    <x v="1"/>
    <x v="0"/>
    <x v="0"/>
    <n v="1425"/>
    <n v="1"/>
    <n v="1425"/>
    <x v="3"/>
    <x v="2"/>
    <x v="1"/>
    <x v="7"/>
  </r>
  <r>
    <x v="34"/>
    <s v="2025-02-07"/>
    <x v="5"/>
    <n v="2025"/>
    <s v="CUST424"/>
    <s v="Customer_280"/>
    <x v="1"/>
    <x v="1"/>
    <x v="4"/>
    <n v="293"/>
    <n v="5"/>
    <n v="1465"/>
    <x v="3"/>
    <x v="0"/>
    <x v="4"/>
    <x v="9"/>
  </r>
  <r>
    <x v="35"/>
    <s v="2024-08-01"/>
    <x v="10"/>
    <n v="2024"/>
    <s v="CUST193"/>
    <s v="Customer_160"/>
    <x v="1"/>
    <x v="0"/>
    <x v="10"/>
    <n v="1288"/>
    <n v="1"/>
    <n v="1288"/>
    <x v="2"/>
    <x v="1"/>
    <x v="0"/>
    <x v="13"/>
  </r>
  <r>
    <x v="36"/>
    <s v="2025-02-25"/>
    <x v="5"/>
    <n v="2025"/>
    <s v="CUST799"/>
    <s v="Customer_231"/>
    <x v="1"/>
    <x v="2"/>
    <x v="12"/>
    <n v="522"/>
    <n v="1"/>
    <n v="522"/>
    <x v="4"/>
    <x v="0"/>
    <x v="0"/>
    <x v="1"/>
  </r>
  <r>
    <x v="37"/>
    <s v="2025-05-13"/>
    <x v="7"/>
    <n v="2025"/>
    <s v="CUST543"/>
    <s v="Customer_62"/>
    <x v="0"/>
    <x v="1"/>
    <x v="2"/>
    <n v="675"/>
    <n v="1"/>
    <n v="675"/>
    <x v="3"/>
    <x v="3"/>
    <x v="1"/>
    <x v="18"/>
  </r>
  <r>
    <x v="38"/>
    <s v="2024-08-13"/>
    <x v="10"/>
    <n v="2024"/>
    <s v="CUST593"/>
    <s v="Customer_180"/>
    <x v="1"/>
    <x v="0"/>
    <x v="0"/>
    <n v="934"/>
    <n v="1"/>
    <n v="934"/>
    <x v="0"/>
    <x v="2"/>
    <x v="7"/>
    <x v="4"/>
  </r>
  <r>
    <x v="39"/>
    <s v="2024-11-05"/>
    <x v="2"/>
    <n v="2024"/>
    <s v="CUST768"/>
    <s v="Customer_233"/>
    <x v="2"/>
    <x v="0"/>
    <x v="0"/>
    <n v="372"/>
    <n v="5"/>
    <n v="1860"/>
    <x v="0"/>
    <x v="1"/>
    <x v="7"/>
    <x v="18"/>
  </r>
  <r>
    <x v="40"/>
    <s v="2024-02-22"/>
    <x v="5"/>
    <n v="2024"/>
    <s v="CUST453"/>
    <s v="Customer_4"/>
    <x v="2"/>
    <x v="2"/>
    <x v="8"/>
    <n v="724"/>
    <n v="5"/>
    <n v="3620"/>
    <x v="2"/>
    <x v="1"/>
    <x v="3"/>
    <x v="13"/>
  </r>
  <r>
    <x v="41"/>
    <s v="2024-07-26"/>
    <x v="6"/>
    <n v="2024"/>
    <s v="CUST270"/>
    <s v="Customer_189"/>
    <x v="2"/>
    <x v="0"/>
    <x v="3"/>
    <n v="1295"/>
    <n v="5"/>
    <n v="6475"/>
    <x v="2"/>
    <x v="2"/>
    <x v="5"/>
    <x v="16"/>
  </r>
  <r>
    <x v="42"/>
    <s v="2025-08-21"/>
    <x v="10"/>
    <n v="2025"/>
    <s v="CUST922"/>
    <s v="Customer_131"/>
    <x v="2"/>
    <x v="2"/>
    <x v="5"/>
    <n v="745"/>
    <n v="4"/>
    <n v="2980"/>
    <x v="3"/>
    <x v="0"/>
    <x v="5"/>
    <x v="13"/>
  </r>
  <r>
    <x v="43"/>
    <s v="2025-06-21"/>
    <x v="8"/>
    <n v="2025"/>
    <s v="CUST275"/>
    <s v="Customer_273"/>
    <x v="1"/>
    <x v="1"/>
    <x v="2"/>
    <n v="713"/>
    <n v="4"/>
    <n v="2852"/>
    <x v="0"/>
    <x v="3"/>
    <x v="7"/>
    <x v="8"/>
  </r>
  <r>
    <x v="44"/>
    <s v="2024-06-17"/>
    <x v="8"/>
    <n v="2024"/>
    <s v="CUST174"/>
    <s v="Customer_105"/>
    <x v="2"/>
    <x v="2"/>
    <x v="5"/>
    <n v="274"/>
    <n v="5"/>
    <n v="1370"/>
    <x v="1"/>
    <x v="3"/>
    <x v="7"/>
    <x v="11"/>
  </r>
  <r>
    <x v="45"/>
    <s v="2024-03-23"/>
    <x v="0"/>
    <n v="2024"/>
    <s v="CUST250"/>
    <s v="Customer_92"/>
    <x v="2"/>
    <x v="1"/>
    <x v="2"/>
    <n v="443"/>
    <n v="4"/>
    <n v="1772"/>
    <x v="0"/>
    <x v="2"/>
    <x v="4"/>
    <x v="18"/>
  </r>
  <r>
    <x v="46"/>
    <s v="2024-04-07"/>
    <x v="1"/>
    <n v="2024"/>
    <s v="CUST686"/>
    <s v="Customer_41"/>
    <x v="1"/>
    <x v="2"/>
    <x v="8"/>
    <n v="1009"/>
    <n v="3"/>
    <n v="3027"/>
    <x v="4"/>
    <x v="1"/>
    <x v="2"/>
    <x v="23"/>
  </r>
  <r>
    <x v="47"/>
    <s v="2024-09-26"/>
    <x v="11"/>
    <n v="2024"/>
    <s v="CUST739"/>
    <s v="Customer_71"/>
    <x v="0"/>
    <x v="1"/>
    <x v="2"/>
    <n v="1445"/>
    <n v="5"/>
    <n v="7225"/>
    <x v="1"/>
    <x v="0"/>
    <x v="0"/>
    <x v="16"/>
  </r>
  <r>
    <x v="48"/>
    <s v="2024-04-02"/>
    <x v="1"/>
    <n v="2024"/>
    <s v="CUST498"/>
    <s v="Customer_164"/>
    <x v="0"/>
    <x v="2"/>
    <x v="8"/>
    <n v="765"/>
    <n v="4"/>
    <n v="3060"/>
    <x v="3"/>
    <x v="3"/>
    <x v="2"/>
    <x v="3"/>
  </r>
  <r>
    <x v="49"/>
    <s v="2024-06-03"/>
    <x v="8"/>
    <n v="2024"/>
    <s v="CUST424"/>
    <s v="Customer_48"/>
    <x v="1"/>
    <x v="2"/>
    <x v="12"/>
    <n v="1218"/>
    <n v="1"/>
    <n v="1218"/>
    <x v="1"/>
    <x v="1"/>
    <x v="4"/>
    <x v="24"/>
  </r>
  <r>
    <x v="50"/>
    <s v="2024-10-22"/>
    <x v="9"/>
    <n v="2024"/>
    <s v="CUST117"/>
    <s v="Customer_174"/>
    <x v="2"/>
    <x v="0"/>
    <x v="6"/>
    <n v="1158"/>
    <n v="3"/>
    <n v="3474"/>
    <x v="2"/>
    <x v="1"/>
    <x v="1"/>
    <x v="23"/>
  </r>
  <r>
    <x v="51"/>
    <s v="2024-06-24"/>
    <x v="8"/>
    <n v="2024"/>
    <s v="CUST983"/>
    <s v="Customer_25"/>
    <x v="2"/>
    <x v="0"/>
    <x v="6"/>
    <n v="1471"/>
    <n v="3"/>
    <n v="4413"/>
    <x v="3"/>
    <x v="0"/>
    <x v="7"/>
    <x v="6"/>
  </r>
  <r>
    <x v="52"/>
    <s v="2024-04-02"/>
    <x v="1"/>
    <n v="2024"/>
    <s v="CUST394"/>
    <s v="Customer_205"/>
    <x v="2"/>
    <x v="2"/>
    <x v="7"/>
    <n v="1167"/>
    <n v="1"/>
    <n v="1167"/>
    <x v="1"/>
    <x v="0"/>
    <x v="3"/>
    <x v="23"/>
  </r>
  <r>
    <x v="53"/>
    <s v="2024-06-26"/>
    <x v="8"/>
    <n v="2024"/>
    <s v="CUST418"/>
    <s v="Customer_192"/>
    <x v="0"/>
    <x v="2"/>
    <x v="8"/>
    <n v="377"/>
    <n v="4"/>
    <n v="1508"/>
    <x v="1"/>
    <x v="0"/>
    <x v="0"/>
    <x v="22"/>
  </r>
  <r>
    <x v="54"/>
    <s v="2024-03-03"/>
    <x v="0"/>
    <n v="2024"/>
    <s v="CUST108"/>
    <s v="Customer_251"/>
    <x v="0"/>
    <x v="1"/>
    <x v="13"/>
    <n v="339"/>
    <n v="1"/>
    <n v="339"/>
    <x v="4"/>
    <x v="1"/>
    <x v="1"/>
    <x v="17"/>
  </r>
  <r>
    <x v="55"/>
    <s v="2024-02-06"/>
    <x v="5"/>
    <n v="2024"/>
    <s v="CUST149"/>
    <s v="Customer_55"/>
    <x v="0"/>
    <x v="1"/>
    <x v="13"/>
    <n v="638"/>
    <n v="4"/>
    <n v="2552"/>
    <x v="0"/>
    <x v="1"/>
    <x v="7"/>
    <x v="7"/>
  </r>
  <r>
    <x v="56"/>
    <s v="2024-03-30"/>
    <x v="0"/>
    <n v="2024"/>
    <s v="CUST962"/>
    <s v="Customer_240"/>
    <x v="0"/>
    <x v="2"/>
    <x v="12"/>
    <n v="865"/>
    <n v="5"/>
    <n v="4325"/>
    <x v="2"/>
    <x v="2"/>
    <x v="1"/>
    <x v="6"/>
  </r>
  <r>
    <x v="57"/>
    <s v="2025-07-03"/>
    <x v="6"/>
    <n v="2025"/>
    <s v="CUST897"/>
    <s v="Customer_88"/>
    <x v="0"/>
    <x v="2"/>
    <x v="11"/>
    <n v="1323"/>
    <n v="5"/>
    <n v="6615"/>
    <x v="4"/>
    <x v="0"/>
    <x v="6"/>
    <x v="2"/>
  </r>
  <r>
    <x v="58"/>
    <s v="2024-04-15"/>
    <x v="1"/>
    <n v="2024"/>
    <s v="CUST476"/>
    <s v="Customer_214"/>
    <x v="0"/>
    <x v="0"/>
    <x v="6"/>
    <n v="256"/>
    <n v="4"/>
    <n v="1024"/>
    <x v="1"/>
    <x v="2"/>
    <x v="7"/>
    <x v="4"/>
  </r>
  <r>
    <x v="59"/>
    <s v="2025-07-03"/>
    <x v="6"/>
    <n v="2025"/>
    <s v="CUST158"/>
    <s v="Customer_191"/>
    <x v="1"/>
    <x v="1"/>
    <x v="1"/>
    <n v="1419"/>
    <n v="4"/>
    <n v="5676"/>
    <x v="3"/>
    <x v="2"/>
    <x v="3"/>
    <x v="1"/>
  </r>
  <r>
    <x v="60"/>
    <s v="2024-01-25"/>
    <x v="3"/>
    <n v="2024"/>
    <s v="CUST166"/>
    <s v="Customer_268"/>
    <x v="2"/>
    <x v="1"/>
    <x v="2"/>
    <n v="1078"/>
    <n v="2"/>
    <n v="2156"/>
    <x v="2"/>
    <x v="2"/>
    <x v="1"/>
    <x v="2"/>
  </r>
  <r>
    <x v="61"/>
    <s v="2025-06-05"/>
    <x v="8"/>
    <n v="2025"/>
    <s v="CUST126"/>
    <s v="Customer_111"/>
    <x v="2"/>
    <x v="2"/>
    <x v="12"/>
    <n v="501"/>
    <n v="5"/>
    <n v="2505"/>
    <x v="0"/>
    <x v="0"/>
    <x v="1"/>
    <x v="14"/>
  </r>
  <r>
    <x v="62"/>
    <s v="2024-09-10"/>
    <x v="11"/>
    <n v="2024"/>
    <s v="CUST181"/>
    <s v="Customer_143"/>
    <x v="2"/>
    <x v="0"/>
    <x v="6"/>
    <n v="1089"/>
    <n v="3"/>
    <n v="3267"/>
    <x v="3"/>
    <x v="1"/>
    <x v="0"/>
    <x v="13"/>
  </r>
  <r>
    <x v="63"/>
    <s v="2024-02-02"/>
    <x v="5"/>
    <n v="2024"/>
    <s v="CUST595"/>
    <s v="Customer_151"/>
    <x v="1"/>
    <x v="0"/>
    <x v="10"/>
    <n v="1232"/>
    <n v="5"/>
    <n v="6160"/>
    <x v="0"/>
    <x v="2"/>
    <x v="2"/>
    <x v="21"/>
  </r>
  <r>
    <x v="64"/>
    <s v="2024-04-19"/>
    <x v="1"/>
    <n v="2024"/>
    <s v="CUST447"/>
    <s v="Customer_197"/>
    <x v="1"/>
    <x v="0"/>
    <x v="0"/>
    <n v="1217"/>
    <n v="5"/>
    <n v="6085"/>
    <x v="1"/>
    <x v="0"/>
    <x v="2"/>
    <x v="21"/>
  </r>
  <r>
    <x v="65"/>
    <s v="2025-01-16"/>
    <x v="3"/>
    <n v="2025"/>
    <s v="CUST321"/>
    <s v="Customer_281"/>
    <x v="1"/>
    <x v="0"/>
    <x v="10"/>
    <n v="985"/>
    <n v="3"/>
    <n v="2955"/>
    <x v="1"/>
    <x v="0"/>
    <x v="1"/>
    <x v="8"/>
  </r>
  <r>
    <x v="66"/>
    <s v="2024-07-17"/>
    <x v="6"/>
    <n v="2024"/>
    <s v="CUST862"/>
    <s v="Customer_157"/>
    <x v="2"/>
    <x v="1"/>
    <x v="4"/>
    <n v="1047"/>
    <n v="2"/>
    <n v="2094"/>
    <x v="3"/>
    <x v="0"/>
    <x v="5"/>
    <x v="5"/>
  </r>
  <r>
    <x v="67"/>
    <s v="2024-06-08"/>
    <x v="8"/>
    <n v="2024"/>
    <s v="CUST960"/>
    <s v="Customer_183"/>
    <x v="2"/>
    <x v="2"/>
    <x v="11"/>
    <n v="274"/>
    <n v="2"/>
    <n v="548"/>
    <x v="0"/>
    <x v="0"/>
    <x v="6"/>
    <x v="7"/>
  </r>
  <r>
    <x v="68"/>
    <s v="2024-03-08"/>
    <x v="0"/>
    <n v="2024"/>
    <s v="CUST525"/>
    <s v="Customer_296"/>
    <x v="0"/>
    <x v="0"/>
    <x v="10"/>
    <n v="638"/>
    <n v="4"/>
    <n v="2552"/>
    <x v="2"/>
    <x v="1"/>
    <x v="1"/>
    <x v="6"/>
  </r>
  <r>
    <x v="69"/>
    <s v="2024-07-28"/>
    <x v="6"/>
    <n v="2024"/>
    <s v="CUST533"/>
    <s v="Customer_33"/>
    <x v="1"/>
    <x v="1"/>
    <x v="2"/>
    <n v="484"/>
    <n v="3"/>
    <n v="1452"/>
    <x v="2"/>
    <x v="3"/>
    <x v="5"/>
    <x v="15"/>
  </r>
  <r>
    <x v="70"/>
    <s v="2024-02-12"/>
    <x v="5"/>
    <n v="2024"/>
    <s v="CUST835"/>
    <s v="Customer_70"/>
    <x v="0"/>
    <x v="2"/>
    <x v="12"/>
    <n v="1225"/>
    <n v="4"/>
    <n v="4900"/>
    <x v="2"/>
    <x v="1"/>
    <x v="4"/>
    <x v="10"/>
  </r>
  <r>
    <x v="71"/>
    <s v="2025-02-21"/>
    <x v="5"/>
    <n v="2025"/>
    <s v="CUST861"/>
    <s v="Customer_71"/>
    <x v="2"/>
    <x v="1"/>
    <x v="14"/>
    <n v="695"/>
    <n v="3"/>
    <n v="2085"/>
    <x v="0"/>
    <x v="1"/>
    <x v="6"/>
    <x v="18"/>
  </r>
  <r>
    <x v="72"/>
    <s v="2025-01-17"/>
    <x v="3"/>
    <n v="2025"/>
    <s v="CUST814"/>
    <s v="Customer_169"/>
    <x v="2"/>
    <x v="2"/>
    <x v="11"/>
    <n v="341"/>
    <n v="3"/>
    <n v="1023"/>
    <x v="4"/>
    <x v="1"/>
    <x v="7"/>
    <x v="25"/>
  </r>
  <r>
    <x v="73"/>
    <s v="2024-12-01"/>
    <x v="4"/>
    <n v="2024"/>
    <s v="CUST164"/>
    <s v="Customer_65"/>
    <x v="1"/>
    <x v="1"/>
    <x v="1"/>
    <n v="308"/>
    <n v="3"/>
    <n v="924"/>
    <x v="0"/>
    <x v="3"/>
    <x v="5"/>
    <x v="19"/>
  </r>
  <r>
    <x v="74"/>
    <s v="2025-06-23"/>
    <x v="8"/>
    <n v="2025"/>
    <s v="CUST922"/>
    <s v="Customer_214"/>
    <x v="1"/>
    <x v="2"/>
    <x v="7"/>
    <n v="202"/>
    <n v="5"/>
    <n v="1010"/>
    <x v="2"/>
    <x v="1"/>
    <x v="6"/>
    <x v="26"/>
  </r>
  <r>
    <x v="75"/>
    <s v="2024-03-05"/>
    <x v="0"/>
    <n v="2024"/>
    <s v="CUST927"/>
    <s v="Customer_200"/>
    <x v="2"/>
    <x v="2"/>
    <x v="12"/>
    <n v="1394"/>
    <n v="1"/>
    <n v="1394"/>
    <x v="4"/>
    <x v="0"/>
    <x v="7"/>
    <x v="17"/>
  </r>
  <r>
    <x v="76"/>
    <s v="2024-08-19"/>
    <x v="10"/>
    <n v="2024"/>
    <s v="CUST116"/>
    <s v="Customer_133"/>
    <x v="2"/>
    <x v="2"/>
    <x v="5"/>
    <n v="244"/>
    <n v="1"/>
    <n v="244"/>
    <x v="4"/>
    <x v="2"/>
    <x v="3"/>
    <x v="12"/>
  </r>
  <r>
    <x v="77"/>
    <s v="2024-04-13"/>
    <x v="1"/>
    <n v="2024"/>
    <s v="CUST733"/>
    <s v="Customer_170"/>
    <x v="0"/>
    <x v="0"/>
    <x v="3"/>
    <n v="459"/>
    <n v="5"/>
    <n v="2295"/>
    <x v="3"/>
    <x v="3"/>
    <x v="2"/>
    <x v="2"/>
  </r>
  <r>
    <x v="78"/>
    <s v="2024-10-12"/>
    <x v="9"/>
    <n v="2024"/>
    <s v="CUST397"/>
    <s v="Customer_138"/>
    <x v="0"/>
    <x v="0"/>
    <x v="3"/>
    <n v="440"/>
    <n v="1"/>
    <n v="440"/>
    <x v="2"/>
    <x v="3"/>
    <x v="7"/>
    <x v="25"/>
  </r>
  <r>
    <x v="79"/>
    <s v="2024-12-26"/>
    <x v="4"/>
    <n v="2024"/>
    <s v="CUST425"/>
    <s v="Customer_277"/>
    <x v="1"/>
    <x v="1"/>
    <x v="2"/>
    <n v="989"/>
    <n v="3"/>
    <n v="2967"/>
    <x v="1"/>
    <x v="3"/>
    <x v="3"/>
    <x v="18"/>
  </r>
  <r>
    <x v="80"/>
    <s v="2024-04-20"/>
    <x v="1"/>
    <n v="2024"/>
    <s v="CUST698"/>
    <s v="Customer_184"/>
    <x v="1"/>
    <x v="1"/>
    <x v="4"/>
    <n v="782"/>
    <n v="3"/>
    <n v="2346"/>
    <x v="2"/>
    <x v="1"/>
    <x v="4"/>
    <x v="6"/>
  </r>
  <r>
    <x v="81"/>
    <s v="2025-06-17"/>
    <x v="8"/>
    <n v="2025"/>
    <s v="CUST988"/>
    <s v="Customer_92"/>
    <x v="2"/>
    <x v="1"/>
    <x v="13"/>
    <n v="238"/>
    <n v="5"/>
    <n v="1190"/>
    <x v="3"/>
    <x v="0"/>
    <x v="6"/>
    <x v="27"/>
  </r>
  <r>
    <x v="82"/>
    <s v="2025-01-14"/>
    <x v="3"/>
    <n v="2025"/>
    <s v="CUST636"/>
    <s v="Customer_100"/>
    <x v="1"/>
    <x v="2"/>
    <x v="12"/>
    <n v="707"/>
    <n v="5"/>
    <n v="3535"/>
    <x v="4"/>
    <x v="3"/>
    <x v="6"/>
    <x v="21"/>
  </r>
  <r>
    <x v="83"/>
    <s v="2024-06-29"/>
    <x v="8"/>
    <n v="2024"/>
    <s v="CUST942"/>
    <s v="Customer_13"/>
    <x v="1"/>
    <x v="0"/>
    <x v="3"/>
    <n v="1016"/>
    <n v="2"/>
    <n v="2032"/>
    <x v="1"/>
    <x v="2"/>
    <x v="6"/>
    <x v="7"/>
  </r>
  <r>
    <x v="84"/>
    <s v="2024-04-24"/>
    <x v="1"/>
    <n v="2024"/>
    <s v="CUST603"/>
    <s v="Customer_50"/>
    <x v="1"/>
    <x v="2"/>
    <x v="12"/>
    <n v="437"/>
    <n v="2"/>
    <n v="874"/>
    <x v="4"/>
    <x v="3"/>
    <x v="0"/>
    <x v="22"/>
  </r>
  <r>
    <x v="85"/>
    <s v="2025-01-18"/>
    <x v="3"/>
    <n v="2025"/>
    <s v="CUST909"/>
    <s v="Customer_227"/>
    <x v="0"/>
    <x v="1"/>
    <x v="4"/>
    <n v="468"/>
    <n v="3"/>
    <n v="1404"/>
    <x v="1"/>
    <x v="3"/>
    <x v="7"/>
    <x v="13"/>
  </r>
  <r>
    <x v="86"/>
    <s v="2024-03-31"/>
    <x v="0"/>
    <n v="2024"/>
    <s v="CUST229"/>
    <s v="Customer_43"/>
    <x v="1"/>
    <x v="0"/>
    <x v="9"/>
    <n v="415"/>
    <n v="3"/>
    <n v="1245"/>
    <x v="0"/>
    <x v="2"/>
    <x v="1"/>
    <x v="4"/>
  </r>
  <r>
    <x v="87"/>
    <s v="2025-05-05"/>
    <x v="7"/>
    <n v="2025"/>
    <s v="CUST889"/>
    <s v="Customer_16"/>
    <x v="1"/>
    <x v="1"/>
    <x v="1"/>
    <n v="434"/>
    <n v="2"/>
    <n v="868"/>
    <x v="1"/>
    <x v="1"/>
    <x v="5"/>
    <x v="4"/>
  </r>
  <r>
    <x v="88"/>
    <s v="2024-08-11"/>
    <x v="10"/>
    <n v="2024"/>
    <s v="CUST685"/>
    <s v="Customer_255"/>
    <x v="2"/>
    <x v="2"/>
    <x v="12"/>
    <n v="891"/>
    <n v="2"/>
    <n v="1782"/>
    <x v="3"/>
    <x v="0"/>
    <x v="0"/>
    <x v="28"/>
  </r>
  <r>
    <x v="89"/>
    <s v="2024-06-28"/>
    <x v="8"/>
    <n v="2024"/>
    <s v="CUST217"/>
    <s v="Customer_245"/>
    <x v="0"/>
    <x v="1"/>
    <x v="1"/>
    <n v="1169"/>
    <n v="1"/>
    <n v="1169"/>
    <x v="2"/>
    <x v="0"/>
    <x v="5"/>
    <x v="2"/>
  </r>
  <r>
    <x v="90"/>
    <s v="2024-10-10"/>
    <x v="9"/>
    <n v="2024"/>
    <s v="CUST961"/>
    <s v="Customer_181"/>
    <x v="0"/>
    <x v="0"/>
    <x v="3"/>
    <n v="520"/>
    <n v="3"/>
    <n v="1560"/>
    <x v="2"/>
    <x v="0"/>
    <x v="7"/>
    <x v="8"/>
  </r>
  <r>
    <x v="91"/>
    <s v="2025-04-07"/>
    <x v="1"/>
    <n v="2025"/>
    <s v="CUST767"/>
    <s v="Customer_256"/>
    <x v="0"/>
    <x v="1"/>
    <x v="13"/>
    <n v="768"/>
    <n v="3"/>
    <n v="2304"/>
    <x v="2"/>
    <x v="2"/>
    <x v="4"/>
    <x v="17"/>
  </r>
  <r>
    <x v="92"/>
    <s v="2024-04-30"/>
    <x v="1"/>
    <n v="2024"/>
    <s v="CUST109"/>
    <s v="Customer_280"/>
    <x v="1"/>
    <x v="1"/>
    <x v="2"/>
    <n v="481"/>
    <n v="3"/>
    <n v="1443"/>
    <x v="2"/>
    <x v="3"/>
    <x v="4"/>
    <x v="2"/>
  </r>
  <r>
    <x v="93"/>
    <s v="2024-07-20"/>
    <x v="6"/>
    <n v="2024"/>
    <s v="CUST319"/>
    <s v="Customer_238"/>
    <x v="2"/>
    <x v="1"/>
    <x v="2"/>
    <n v="1125"/>
    <n v="3"/>
    <n v="3375"/>
    <x v="4"/>
    <x v="1"/>
    <x v="1"/>
    <x v="20"/>
  </r>
  <r>
    <x v="94"/>
    <s v="2024-12-30"/>
    <x v="4"/>
    <n v="2024"/>
    <s v="CUST467"/>
    <s v="Customer_227"/>
    <x v="0"/>
    <x v="1"/>
    <x v="14"/>
    <n v="775"/>
    <n v="1"/>
    <n v="775"/>
    <x v="3"/>
    <x v="1"/>
    <x v="0"/>
    <x v="2"/>
  </r>
  <r>
    <x v="95"/>
    <s v="2024-05-01"/>
    <x v="7"/>
    <n v="2024"/>
    <s v="CUST891"/>
    <s v="Customer_103"/>
    <x v="0"/>
    <x v="1"/>
    <x v="1"/>
    <n v="614"/>
    <n v="5"/>
    <n v="3070"/>
    <x v="2"/>
    <x v="0"/>
    <x v="1"/>
    <x v="13"/>
  </r>
  <r>
    <x v="96"/>
    <s v="2025-03-18"/>
    <x v="0"/>
    <n v="2025"/>
    <s v="CUST594"/>
    <s v="Customer_158"/>
    <x v="1"/>
    <x v="0"/>
    <x v="6"/>
    <n v="464"/>
    <n v="2"/>
    <n v="928"/>
    <x v="2"/>
    <x v="3"/>
    <x v="5"/>
    <x v="27"/>
  </r>
  <r>
    <x v="97"/>
    <s v="2024-06-06"/>
    <x v="8"/>
    <n v="2024"/>
    <s v="CUST982"/>
    <s v="Customer_189"/>
    <x v="2"/>
    <x v="0"/>
    <x v="3"/>
    <n v="237"/>
    <n v="1"/>
    <n v="237"/>
    <x v="0"/>
    <x v="1"/>
    <x v="6"/>
    <x v="13"/>
  </r>
  <r>
    <x v="98"/>
    <s v="2025-01-31"/>
    <x v="3"/>
    <n v="2025"/>
    <s v="CUST814"/>
    <s v="Customer_189"/>
    <x v="1"/>
    <x v="1"/>
    <x v="1"/>
    <n v="1404"/>
    <n v="3"/>
    <n v="4212"/>
    <x v="1"/>
    <x v="3"/>
    <x v="1"/>
    <x v="18"/>
  </r>
  <r>
    <x v="99"/>
    <s v="2025-04-27"/>
    <x v="1"/>
    <n v="2025"/>
    <s v="CUST122"/>
    <s v="Customer_43"/>
    <x v="0"/>
    <x v="0"/>
    <x v="3"/>
    <n v="745"/>
    <n v="3"/>
    <n v="2235"/>
    <x v="1"/>
    <x v="3"/>
    <x v="0"/>
    <x v="3"/>
  </r>
  <r>
    <x v="100"/>
    <s v="2025-08-05"/>
    <x v="10"/>
    <n v="2025"/>
    <s v="CUST113"/>
    <s v="Customer_280"/>
    <x v="0"/>
    <x v="1"/>
    <x v="2"/>
    <n v="1149"/>
    <n v="5"/>
    <n v="5745"/>
    <x v="2"/>
    <x v="0"/>
    <x v="1"/>
    <x v="2"/>
  </r>
  <r>
    <x v="101"/>
    <s v="2024-11-01"/>
    <x v="2"/>
    <n v="2024"/>
    <s v="CUST515"/>
    <s v="Customer_73"/>
    <x v="2"/>
    <x v="1"/>
    <x v="4"/>
    <n v="1217"/>
    <n v="1"/>
    <n v="1217"/>
    <x v="4"/>
    <x v="2"/>
    <x v="1"/>
    <x v="28"/>
  </r>
  <r>
    <x v="102"/>
    <s v="2025-03-07"/>
    <x v="0"/>
    <n v="2025"/>
    <s v="CUST398"/>
    <s v="Customer_4"/>
    <x v="2"/>
    <x v="2"/>
    <x v="12"/>
    <n v="737"/>
    <n v="5"/>
    <n v="3685"/>
    <x v="0"/>
    <x v="3"/>
    <x v="2"/>
    <x v="9"/>
  </r>
  <r>
    <x v="103"/>
    <s v="2024-12-25"/>
    <x v="4"/>
    <n v="2024"/>
    <s v="CUST861"/>
    <s v="Customer_219"/>
    <x v="2"/>
    <x v="2"/>
    <x v="12"/>
    <n v="391"/>
    <n v="3"/>
    <n v="1173"/>
    <x v="0"/>
    <x v="0"/>
    <x v="3"/>
    <x v="14"/>
  </r>
  <r>
    <x v="104"/>
    <s v="2024-10-11"/>
    <x v="9"/>
    <n v="2024"/>
    <s v="CUST321"/>
    <s v="Customer_188"/>
    <x v="2"/>
    <x v="2"/>
    <x v="12"/>
    <n v="1486"/>
    <n v="3"/>
    <n v="4458"/>
    <x v="2"/>
    <x v="1"/>
    <x v="4"/>
    <x v="10"/>
  </r>
  <r>
    <x v="105"/>
    <s v="2024-02-05"/>
    <x v="5"/>
    <n v="2024"/>
    <s v="CUST573"/>
    <s v="Customer_189"/>
    <x v="2"/>
    <x v="2"/>
    <x v="7"/>
    <n v="1449"/>
    <n v="5"/>
    <n v="7245"/>
    <x v="1"/>
    <x v="1"/>
    <x v="6"/>
    <x v="6"/>
  </r>
  <r>
    <x v="106"/>
    <s v="2025-04-14"/>
    <x v="1"/>
    <n v="2025"/>
    <s v="CUST695"/>
    <s v="Customer_21"/>
    <x v="2"/>
    <x v="1"/>
    <x v="4"/>
    <n v="214"/>
    <n v="2"/>
    <n v="428"/>
    <x v="1"/>
    <x v="0"/>
    <x v="4"/>
    <x v="29"/>
  </r>
  <r>
    <x v="107"/>
    <s v="2024-11-14"/>
    <x v="2"/>
    <n v="2024"/>
    <s v="CUST445"/>
    <s v="Customer_194"/>
    <x v="2"/>
    <x v="2"/>
    <x v="12"/>
    <n v="1099"/>
    <n v="1"/>
    <n v="1099"/>
    <x v="1"/>
    <x v="3"/>
    <x v="6"/>
    <x v="25"/>
  </r>
  <r>
    <x v="108"/>
    <s v="2024-04-28"/>
    <x v="1"/>
    <n v="2024"/>
    <s v="CUST724"/>
    <s v="Customer_196"/>
    <x v="2"/>
    <x v="2"/>
    <x v="8"/>
    <n v="726"/>
    <n v="5"/>
    <n v="3630"/>
    <x v="3"/>
    <x v="1"/>
    <x v="3"/>
    <x v="27"/>
  </r>
  <r>
    <x v="109"/>
    <s v="2024-01-29"/>
    <x v="3"/>
    <n v="2024"/>
    <s v="CUST830"/>
    <s v="Customer_273"/>
    <x v="1"/>
    <x v="0"/>
    <x v="6"/>
    <n v="859"/>
    <n v="3"/>
    <n v="2577"/>
    <x v="3"/>
    <x v="3"/>
    <x v="0"/>
    <x v="17"/>
  </r>
  <r>
    <x v="110"/>
    <s v="2024-10-14"/>
    <x v="9"/>
    <n v="2024"/>
    <s v="CUST976"/>
    <s v="Customer_157"/>
    <x v="1"/>
    <x v="0"/>
    <x v="9"/>
    <n v="1002"/>
    <n v="4"/>
    <n v="4008"/>
    <x v="0"/>
    <x v="0"/>
    <x v="1"/>
    <x v="24"/>
  </r>
  <r>
    <x v="111"/>
    <s v="2025-06-01"/>
    <x v="8"/>
    <n v="2025"/>
    <s v="CUST248"/>
    <s v="Customer_11"/>
    <x v="2"/>
    <x v="2"/>
    <x v="5"/>
    <n v="1293"/>
    <n v="1"/>
    <n v="1293"/>
    <x v="1"/>
    <x v="3"/>
    <x v="6"/>
    <x v="9"/>
  </r>
  <r>
    <x v="112"/>
    <s v="2025-02-06"/>
    <x v="5"/>
    <n v="2025"/>
    <s v="CUST342"/>
    <s v="Customer_57"/>
    <x v="1"/>
    <x v="0"/>
    <x v="3"/>
    <n v="385"/>
    <n v="5"/>
    <n v="1925"/>
    <x v="2"/>
    <x v="2"/>
    <x v="7"/>
    <x v="21"/>
  </r>
  <r>
    <x v="113"/>
    <s v="2025-08-27"/>
    <x v="10"/>
    <n v="2025"/>
    <s v="CUST144"/>
    <s v="Customer_122"/>
    <x v="2"/>
    <x v="1"/>
    <x v="14"/>
    <n v="849"/>
    <n v="3"/>
    <n v="2547"/>
    <x v="0"/>
    <x v="1"/>
    <x v="4"/>
    <x v="15"/>
  </r>
  <r>
    <x v="114"/>
    <s v="2025-04-16"/>
    <x v="1"/>
    <n v="2025"/>
    <s v="CUST392"/>
    <s v="Customer_45"/>
    <x v="1"/>
    <x v="1"/>
    <x v="2"/>
    <n v="1176"/>
    <n v="4"/>
    <n v="4704"/>
    <x v="4"/>
    <x v="2"/>
    <x v="6"/>
    <x v="16"/>
  </r>
  <r>
    <x v="115"/>
    <s v="2025-08-09"/>
    <x v="10"/>
    <n v="2025"/>
    <s v="CUST760"/>
    <s v="Customer_215"/>
    <x v="1"/>
    <x v="2"/>
    <x v="5"/>
    <n v="932"/>
    <n v="5"/>
    <n v="4660"/>
    <x v="1"/>
    <x v="3"/>
    <x v="1"/>
    <x v="3"/>
  </r>
  <r>
    <x v="116"/>
    <s v="2025-06-08"/>
    <x v="8"/>
    <n v="2025"/>
    <s v="CUST161"/>
    <s v="Customer_97"/>
    <x v="1"/>
    <x v="1"/>
    <x v="1"/>
    <n v="1167"/>
    <n v="1"/>
    <n v="1167"/>
    <x v="3"/>
    <x v="1"/>
    <x v="1"/>
    <x v="19"/>
  </r>
  <r>
    <x v="117"/>
    <s v="2024-11-11"/>
    <x v="2"/>
    <n v="2024"/>
    <s v="CUST880"/>
    <s v="Customer_20"/>
    <x v="0"/>
    <x v="1"/>
    <x v="13"/>
    <n v="1480"/>
    <n v="1"/>
    <n v="1480"/>
    <x v="2"/>
    <x v="0"/>
    <x v="4"/>
    <x v="13"/>
  </r>
  <r>
    <x v="118"/>
    <s v="2025-01-19"/>
    <x v="3"/>
    <n v="2025"/>
    <s v="CUST940"/>
    <s v="Customer_278"/>
    <x v="1"/>
    <x v="2"/>
    <x v="8"/>
    <n v="696"/>
    <n v="3"/>
    <n v="2088"/>
    <x v="2"/>
    <x v="2"/>
    <x v="2"/>
    <x v="1"/>
  </r>
  <r>
    <x v="119"/>
    <s v="2024-12-28"/>
    <x v="4"/>
    <n v="2024"/>
    <s v="CUST537"/>
    <s v="Customer_13"/>
    <x v="0"/>
    <x v="2"/>
    <x v="12"/>
    <n v="586"/>
    <n v="2"/>
    <n v="1172"/>
    <x v="2"/>
    <x v="0"/>
    <x v="7"/>
    <x v="20"/>
  </r>
  <r>
    <x v="120"/>
    <s v="2024-08-15"/>
    <x v="10"/>
    <n v="2024"/>
    <s v="CUST464"/>
    <s v="Customer_248"/>
    <x v="0"/>
    <x v="1"/>
    <x v="2"/>
    <n v="381"/>
    <n v="3"/>
    <n v="1143"/>
    <x v="0"/>
    <x v="3"/>
    <x v="2"/>
    <x v="17"/>
  </r>
  <r>
    <x v="121"/>
    <s v="2024-10-10"/>
    <x v="9"/>
    <n v="2024"/>
    <s v="CUST772"/>
    <s v="Customer_238"/>
    <x v="0"/>
    <x v="1"/>
    <x v="2"/>
    <n v="1226"/>
    <n v="2"/>
    <n v="2452"/>
    <x v="4"/>
    <x v="0"/>
    <x v="7"/>
    <x v="6"/>
  </r>
  <r>
    <x v="122"/>
    <s v="2025-04-16"/>
    <x v="1"/>
    <n v="2025"/>
    <s v="CUST922"/>
    <s v="Customer_26"/>
    <x v="0"/>
    <x v="1"/>
    <x v="13"/>
    <n v="1105"/>
    <n v="3"/>
    <n v="3315"/>
    <x v="4"/>
    <x v="2"/>
    <x v="5"/>
    <x v="27"/>
  </r>
  <r>
    <x v="123"/>
    <s v="2025-07-04"/>
    <x v="6"/>
    <n v="2025"/>
    <s v="CUST973"/>
    <s v="Customer_275"/>
    <x v="1"/>
    <x v="2"/>
    <x v="8"/>
    <n v="964"/>
    <n v="3"/>
    <n v="2892"/>
    <x v="4"/>
    <x v="3"/>
    <x v="1"/>
    <x v="23"/>
  </r>
  <r>
    <x v="124"/>
    <s v="2024-11-13"/>
    <x v="2"/>
    <n v="2024"/>
    <s v="CUST362"/>
    <s v="Customer_151"/>
    <x v="0"/>
    <x v="2"/>
    <x v="8"/>
    <n v="380"/>
    <n v="2"/>
    <n v="760"/>
    <x v="3"/>
    <x v="0"/>
    <x v="5"/>
    <x v="24"/>
  </r>
  <r>
    <x v="125"/>
    <s v="2025-08-06"/>
    <x v="10"/>
    <n v="2025"/>
    <s v="CUST456"/>
    <s v="Customer_256"/>
    <x v="1"/>
    <x v="2"/>
    <x v="11"/>
    <n v="336"/>
    <n v="5"/>
    <n v="1680"/>
    <x v="3"/>
    <x v="3"/>
    <x v="4"/>
    <x v="3"/>
  </r>
  <r>
    <x v="126"/>
    <s v="2024-07-09"/>
    <x v="6"/>
    <n v="2024"/>
    <s v="CUST171"/>
    <s v="Customer_69"/>
    <x v="2"/>
    <x v="2"/>
    <x v="5"/>
    <n v="518"/>
    <n v="3"/>
    <n v="1554"/>
    <x v="3"/>
    <x v="3"/>
    <x v="2"/>
    <x v="25"/>
  </r>
  <r>
    <x v="127"/>
    <s v="2024-10-23"/>
    <x v="9"/>
    <n v="2024"/>
    <s v="CUST965"/>
    <s v="Customer_17"/>
    <x v="0"/>
    <x v="2"/>
    <x v="7"/>
    <n v="1120"/>
    <n v="5"/>
    <n v="5600"/>
    <x v="4"/>
    <x v="2"/>
    <x v="4"/>
    <x v="22"/>
  </r>
  <r>
    <x v="128"/>
    <s v="2025-01-23"/>
    <x v="3"/>
    <n v="2025"/>
    <s v="CUST760"/>
    <s v="Customer_102"/>
    <x v="0"/>
    <x v="1"/>
    <x v="1"/>
    <n v="348"/>
    <n v="3"/>
    <n v="1044"/>
    <x v="3"/>
    <x v="3"/>
    <x v="4"/>
    <x v="3"/>
  </r>
  <r>
    <x v="129"/>
    <s v="2025-05-30"/>
    <x v="7"/>
    <n v="2025"/>
    <s v="CUST343"/>
    <s v="Customer_191"/>
    <x v="0"/>
    <x v="1"/>
    <x v="1"/>
    <n v="986"/>
    <n v="2"/>
    <n v="1972"/>
    <x v="0"/>
    <x v="1"/>
    <x v="4"/>
    <x v="28"/>
  </r>
  <r>
    <x v="130"/>
    <s v="2025-04-01"/>
    <x v="1"/>
    <n v="2025"/>
    <s v="CUST404"/>
    <s v="Customer_164"/>
    <x v="0"/>
    <x v="0"/>
    <x v="10"/>
    <n v="971"/>
    <n v="3"/>
    <n v="2913"/>
    <x v="1"/>
    <x v="2"/>
    <x v="3"/>
    <x v="20"/>
  </r>
  <r>
    <x v="131"/>
    <s v="2024-07-30"/>
    <x v="6"/>
    <n v="2024"/>
    <s v="CUST197"/>
    <s v="Customer_127"/>
    <x v="0"/>
    <x v="0"/>
    <x v="10"/>
    <n v="824"/>
    <n v="1"/>
    <n v="824"/>
    <x v="4"/>
    <x v="3"/>
    <x v="5"/>
    <x v="21"/>
  </r>
  <r>
    <x v="132"/>
    <s v="2025-05-12"/>
    <x v="7"/>
    <n v="2025"/>
    <s v="CUST149"/>
    <s v="Customer_126"/>
    <x v="1"/>
    <x v="2"/>
    <x v="7"/>
    <n v="851"/>
    <n v="2"/>
    <n v="1702"/>
    <x v="0"/>
    <x v="0"/>
    <x v="3"/>
    <x v="8"/>
  </r>
  <r>
    <x v="133"/>
    <s v="2025-08-27"/>
    <x v="10"/>
    <n v="2025"/>
    <s v="CUST483"/>
    <s v="Customer_87"/>
    <x v="1"/>
    <x v="0"/>
    <x v="9"/>
    <n v="882"/>
    <n v="3"/>
    <n v="2646"/>
    <x v="2"/>
    <x v="2"/>
    <x v="2"/>
    <x v="30"/>
  </r>
  <r>
    <x v="134"/>
    <s v="2025-01-24"/>
    <x v="3"/>
    <n v="2025"/>
    <s v="CUST997"/>
    <s v="Customer_94"/>
    <x v="2"/>
    <x v="2"/>
    <x v="8"/>
    <n v="379"/>
    <n v="4"/>
    <n v="1516"/>
    <x v="2"/>
    <x v="1"/>
    <x v="7"/>
    <x v="22"/>
  </r>
  <r>
    <x v="135"/>
    <s v="2024-03-13"/>
    <x v="0"/>
    <n v="2024"/>
    <s v="CUST982"/>
    <s v="Customer_49"/>
    <x v="0"/>
    <x v="2"/>
    <x v="8"/>
    <n v="1034"/>
    <n v="1"/>
    <n v="1034"/>
    <x v="1"/>
    <x v="0"/>
    <x v="6"/>
    <x v="24"/>
  </r>
  <r>
    <x v="136"/>
    <s v="2024-07-15"/>
    <x v="6"/>
    <n v="2024"/>
    <s v="CUST958"/>
    <s v="Customer_165"/>
    <x v="0"/>
    <x v="2"/>
    <x v="8"/>
    <n v="499"/>
    <n v="1"/>
    <n v="499"/>
    <x v="2"/>
    <x v="3"/>
    <x v="6"/>
    <x v="4"/>
  </r>
  <r>
    <x v="137"/>
    <s v="2025-05-28"/>
    <x v="7"/>
    <n v="2025"/>
    <s v="CUST985"/>
    <s v="Customer_85"/>
    <x v="1"/>
    <x v="2"/>
    <x v="11"/>
    <n v="324"/>
    <n v="1"/>
    <n v="324"/>
    <x v="2"/>
    <x v="0"/>
    <x v="4"/>
    <x v="19"/>
  </r>
  <r>
    <x v="138"/>
    <s v="2025-06-10"/>
    <x v="8"/>
    <n v="2025"/>
    <s v="CUST208"/>
    <s v="Customer_71"/>
    <x v="1"/>
    <x v="0"/>
    <x v="10"/>
    <n v="779"/>
    <n v="4"/>
    <n v="3116"/>
    <x v="4"/>
    <x v="1"/>
    <x v="1"/>
    <x v="23"/>
  </r>
  <r>
    <x v="139"/>
    <s v="2025-07-08"/>
    <x v="6"/>
    <n v="2025"/>
    <s v="CUST675"/>
    <s v="Customer_257"/>
    <x v="0"/>
    <x v="2"/>
    <x v="5"/>
    <n v="1310"/>
    <n v="5"/>
    <n v="6550"/>
    <x v="2"/>
    <x v="0"/>
    <x v="2"/>
    <x v="23"/>
  </r>
  <r>
    <x v="140"/>
    <s v="2024-02-28"/>
    <x v="5"/>
    <n v="2024"/>
    <s v="CUST919"/>
    <s v="Customer_109"/>
    <x v="1"/>
    <x v="1"/>
    <x v="14"/>
    <n v="1280"/>
    <n v="3"/>
    <n v="3840"/>
    <x v="4"/>
    <x v="0"/>
    <x v="6"/>
    <x v="17"/>
  </r>
  <r>
    <x v="141"/>
    <s v="2024-06-23"/>
    <x v="8"/>
    <n v="2024"/>
    <s v="CUST484"/>
    <s v="Customer_270"/>
    <x v="1"/>
    <x v="1"/>
    <x v="13"/>
    <n v="829"/>
    <n v="2"/>
    <n v="1658"/>
    <x v="4"/>
    <x v="2"/>
    <x v="4"/>
    <x v="27"/>
  </r>
  <r>
    <x v="142"/>
    <s v="2025-03-24"/>
    <x v="0"/>
    <n v="2025"/>
    <s v="CUST151"/>
    <s v="Customer_8"/>
    <x v="0"/>
    <x v="1"/>
    <x v="4"/>
    <n v="1362"/>
    <n v="5"/>
    <n v="6810"/>
    <x v="3"/>
    <x v="2"/>
    <x v="2"/>
    <x v="12"/>
  </r>
  <r>
    <x v="143"/>
    <s v="2024-11-25"/>
    <x v="2"/>
    <n v="2024"/>
    <s v="CUST648"/>
    <s v="Customer_129"/>
    <x v="0"/>
    <x v="0"/>
    <x v="6"/>
    <n v="1034"/>
    <n v="3"/>
    <n v="3102"/>
    <x v="0"/>
    <x v="1"/>
    <x v="1"/>
    <x v="9"/>
  </r>
  <r>
    <x v="144"/>
    <s v="2025-07-16"/>
    <x v="6"/>
    <n v="2025"/>
    <s v="CUST893"/>
    <s v="Customer_53"/>
    <x v="1"/>
    <x v="1"/>
    <x v="1"/>
    <n v="577"/>
    <n v="3"/>
    <n v="1731"/>
    <x v="4"/>
    <x v="3"/>
    <x v="6"/>
    <x v="3"/>
  </r>
  <r>
    <x v="145"/>
    <s v="2024-07-11"/>
    <x v="6"/>
    <n v="2024"/>
    <s v="CUST830"/>
    <s v="Customer_77"/>
    <x v="2"/>
    <x v="0"/>
    <x v="9"/>
    <n v="929"/>
    <n v="5"/>
    <n v="4645"/>
    <x v="1"/>
    <x v="3"/>
    <x v="0"/>
    <x v="1"/>
  </r>
  <r>
    <x v="146"/>
    <s v="2025-07-17"/>
    <x v="6"/>
    <n v="2025"/>
    <s v="CUST601"/>
    <s v="Customer_43"/>
    <x v="2"/>
    <x v="0"/>
    <x v="9"/>
    <n v="493"/>
    <n v="3"/>
    <n v="1479"/>
    <x v="2"/>
    <x v="0"/>
    <x v="0"/>
    <x v="25"/>
  </r>
  <r>
    <x v="147"/>
    <s v="2024-02-27"/>
    <x v="5"/>
    <n v="2024"/>
    <s v="CUST383"/>
    <s v="Customer_58"/>
    <x v="1"/>
    <x v="0"/>
    <x v="6"/>
    <n v="1383"/>
    <n v="3"/>
    <n v="4149"/>
    <x v="0"/>
    <x v="3"/>
    <x v="1"/>
    <x v="3"/>
  </r>
  <r>
    <x v="148"/>
    <s v="2024-09-29"/>
    <x v="11"/>
    <n v="2024"/>
    <s v="CUST383"/>
    <s v="Customer_199"/>
    <x v="0"/>
    <x v="0"/>
    <x v="0"/>
    <n v="1473"/>
    <n v="1"/>
    <n v="1473"/>
    <x v="0"/>
    <x v="2"/>
    <x v="0"/>
    <x v="7"/>
  </r>
  <r>
    <x v="149"/>
    <s v="2024-06-06"/>
    <x v="8"/>
    <n v="2024"/>
    <s v="CUST242"/>
    <s v="Customer_94"/>
    <x v="2"/>
    <x v="2"/>
    <x v="11"/>
    <n v="453"/>
    <n v="1"/>
    <n v="453"/>
    <x v="3"/>
    <x v="2"/>
    <x v="5"/>
    <x v="10"/>
  </r>
  <r>
    <x v="150"/>
    <s v="2025-04-28"/>
    <x v="1"/>
    <n v="2025"/>
    <s v="CUST274"/>
    <s v="Customer_147"/>
    <x v="0"/>
    <x v="0"/>
    <x v="10"/>
    <n v="356"/>
    <n v="4"/>
    <n v="1424"/>
    <x v="1"/>
    <x v="2"/>
    <x v="2"/>
    <x v="21"/>
  </r>
  <r>
    <x v="151"/>
    <s v="2025-07-06"/>
    <x v="6"/>
    <n v="2025"/>
    <s v="CUST357"/>
    <s v="Customer_272"/>
    <x v="2"/>
    <x v="2"/>
    <x v="8"/>
    <n v="369"/>
    <n v="1"/>
    <n v="369"/>
    <x v="3"/>
    <x v="3"/>
    <x v="1"/>
    <x v="14"/>
  </r>
  <r>
    <x v="152"/>
    <s v="2025-01-10"/>
    <x v="3"/>
    <n v="2025"/>
    <s v="CUST590"/>
    <s v="Customer_114"/>
    <x v="0"/>
    <x v="0"/>
    <x v="10"/>
    <n v="679"/>
    <n v="1"/>
    <n v="679"/>
    <x v="2"/>
    <x v="3"/>
    <x v="2"/>
    <x v="2"/>
  </r>
  <r>
    <x v="153"/>
    <s v="2025-07-17"/>
    <x v="6"/>
    <n v="2025"/>
    <s v="CUST482"/>
    <s v="Customer_247"/>
    <x v="2"/>
    <x v="2"/>
    <x v="12"/>
    <n v="366"/>
    <n v="3"/>
    <n v="1098"/>
    <x v="4"/>
    <x v="2"/>
    <x v="6"/>
    <x v="18"/>
  </r>
  <r>
    <x v="154"/>
    <s v="2025-01-19"/>
    <x v="3"/>
    <n v="2025"/>
    <s v="CUST617"/>
    <s v="Customer_300"/>
    <x v="2"/>
    <x v="0"/>
    <x v="0"/>
    <n v="258"/>
    <n v="3"/>
    <n v="774"/>
    <x v="3"/>
    <x v="0"/>
    <x v="6"/>
    <x v="2"/>
  </r>
  <r>
    <x v="155"/>
    <s v="2025-05-20"/>
    <x v="7"/>
    <n v="2025"/>
    <s v="CUST763"/>
    <s v="Customer_221"/>
    <x v="1"/>
    <x v="1"/>
    <x v="2"/>
    <n v="1183"/>
    <n v="4"/>
    <n v="4732"/>
    <x v="2"/>
    <x v="0"/>
    <x v="6"/>
    <x v="11"/>
  </r>
  <r>
    <x v="156"/>
    <s v="2024-01-03"/>
    <x v="3"/>
    <n v="2024"/>
    <s v="CUST569"/>
    <s v="Customer_272"/>
    <x v="0"/>
    <x v="1"/>
    <x v="4"/>
    <n v="564"/>
    <n v="5"/>
    <n v="2820"/>
    <x v="3"/>
    <x v="0"/>
    <x v="3"/>
    <x v="29"/>
  </r>
  <r>
    <x v="157"/>
    <s v="2024-03-26"/>
    <x v="0"/>
    <n v="2024"/>
    <s v="CUST659"/>
    <s v="Customer_158"/>
    <x v="2"/>
    <x v="2"/>
    <x v="5"/>
    <n v="424"/>
    <n v="5"/>
    <n v="2120"/>
    <x v="2"/>
    <x v="2"/>
    <x v="2"/>
    <x v="26"/>
  </r>
  <r>
    <x v="158"/>
    <s v="2025-04-18"/>
    <x v="1"/>
    <n v="2025"/>
    <s v="CUST574"/>
    <s v="Customer_240"/>
    <x v="1"/>
    <x v="2"/>
    <x v="5"/>
    <n v="444"/>
    <n v="3"/>
    <n v="1332"/>
    <x v="0"/>
    <x v="1"/>
    <x v="1"/>
    <x v="5"/>
  </r>
  <r>
    <x v="159"/>
    <s v="2024-04-13"/>
    <x v="1"/>
    <n v="2024"/>
    <s v="CUST808"/>
    <s v="Customer_283"/>
    <x v="0"/>
    <x v="1"/>
    <x v="14"/>
    <n v="1040"/>
    <n v="4"/>
    <n v="4160"/>
    <x v="3"/>
    <x v="1"/>
    <x v="6"/>
    <x v="25"/>
  </r>
  <r>
    <x v="160"/>
    <s v="2025-02-07"/>
    <x v="5"/>
    <n v="2025"/>
    <s v="CUST202"/>
    <s v="Customer_242"/>
    <x v="2"/>
    <x v="2"/>
    <x v="7"/>
    <n v="1497"/>
    <n v="2"/>
    <n v="2994"/>
    <x v="0"/>
    <x v="1"/>
    <x v="7"/>
    <x v="16"/>
  </r>
  <r>
    <x v="161"/>
    <s v="2024-11-04"/>
    <x v="2"/>
    <n v="2024"/>
    <s v="CUST585"/>
    <s v="Customer_220"/>
    <x v="1"/>
    <x v="2"/>
    <x v="11"/>
    <n v="216"/>
    <n v="3"/>
    <n v="648"/>
    <x v="2"/>
    <x v="2"/>
    <x v="7"/>
    <x v="26"/>
  </r>
  <r>
    <x v="162"/>
    <s v="2024-06-25"/>
    <x v="8"/>
    <n v="2024"/>
    <s v="CUST421"/>
    <s v="Customer_55"/>
    <x v="2"/>
    <x v="2"/>
    <x v="8"/>
    <n v="509"/>
    <n v="2"/>
    <n v="1018"/>
    <x v="0"/>
    <x v="3"/>
    <x v="6"/>
    <x v="27"/>
  </r>
  <r>
    <x v="163"/>
    <s v="2025-07-19"/>
    <x v="6"/>
    <n v="2025"/>
    <s v="CUST916"/>
    <s v="Customer_134"/>
    <x v="1"/>
    <x v="0"/>
    <x v="9"/>
    <n v="1483"/>
    <n v="1"/>
    <n v="1483"/>
    <x v="1"/>
    <x v="0"/>
    <x v="6"/>
    <x v="25"/>
  </r>
  <r>
    <x v="164"/>
    <s v="2024-08-18"/>
    <x v="10"/>
    <n v="2024"/>
    <s v="CUST998"/>
    <s v="Customer_82"/>
    <x v="2"/>
    <x v="0"/>
    <x v="9"/>
    <n v="343"/>
    <n v="5"/>
    <n v="1715"/>
    <x v="2"/>
    <x v="2"/>
    <x v="4"/>
    <x v="10"/>
  </r>
  <r>
    <x v="165"/>
    <s v="2025-02-26"/>
    <x v="5"/>
    <n v="2025"/>
    <s v="CUST315"/>
    <s v="Customer_186"/>
    <x v="0"/>
    <x v="2"/>
    <x v="12"/>
    <n v="986"/>
    <n v="5"/>
    <n v="4930"/>
    <x v="4"/>
    <x v="0"/>
    <x v="4"/>
    <x v="19"/>
  </r>
  <r>
    <x v="166"/>
    <s v="2025-07-01"/>
    <x v="6"/>
    <n v="2025"/>
    <s v="CUST709"/>
    <s v="Customer_210"/>
    <x v="2"/>
    <x v="2"/>
    <x v="5"/>
    <n v="816"/>
    <n v="5"/>
    <n v="4080"/>
    <x v="1"/>
    <x v="1"/>
    <x v="4"/>
    <x v="22"/>
  </r>
  <r>
    <x v="167"/>
    <s v="2025-04-05"/>
    <x v="1"/>
    <n v="2025"/>
    <s v="CUST840"/>
    <s v="Customer_218"/>
    <x v="0"/>
    <x v="2"/>
    <x v="7"/>
    <n v="369"/>
    <n v="4"/>
    <n v="1476"/>
    <x v="0"/>
    <x v="1"/>
    <x v="0"/>
    <x v="17"/>
  </r>
  <r>
    <x v="168"/>
    <s v="2024-09-01"/>
    <x v="11"/>
    <n v="2024"/>
    <s v="CUST557"/>
    <s v="Customer_255"/>
    <x v="2"/>
    <x v="2"/>
    <x v="11"/>
    <n v="1446"/>
    <n v="3"/>
    <n v="4338"/>
    <x v="2"/>
    <x v="0"/>
    <x v="1"/>
    <x v="0"/>
  </r>
  <r>
    <x v="169"/>
    <s v="2024-05-24"/>
    <x v="7"/>
    <n v="2024"/>
    <s v="CUST481"/>
    <s v="Customer_256"/>
    <x v="1"/>
    <x v="0"/>
    <x v="6"/>
    <n v="585"/>
    <n v="2"/>
    <n v="1170"/>
    <x v="4"/>
    <x v="0"/>
    <x v="6"/>
    <x v="9"/>
  </r>
  <r>
    <x v="170"/>
    <s v="2024-08-28"/>
    <x v="10"/>
    <n v="2024"/>
    <s v="CUST819"/>
    <s v="Customer_191"/>
    <x v="0"/>
    <x v="0"/>
    <x v="9"/>
    <n v="557"/>
    <n v="2"/>
    <n v="1114"/>
    <x v="1"/>
    <x v="0"/>
    <x v="0"/>
    <x v="8"/>
  </r>
  <r>
    <x v="171"/>
    <s v="2024-11-17"/>
    <x v="2"/>
    <n v="2024"/>
    <s v="CUST502"/>
    <s v="Customer_231"/>
    <x v="1"/>
    <x v="2"/>
    <x v="7"/>
    <n v="1291"/>
    <n v="5"/>
    <n v="6455"/>
    <x v="4"/>
    <x v="3"/>
    <x v="7"/>
    <x v="29"/>
  </r>
  <r>
    <x v="172"/>
    <s v="2024-09-07"/>
    <x v="11"/>
    <n v="2024"/>
    <s v="CUST859"/>
    <s v="Customer_80"/>
    <x v="1"/>
    <x v="0"/>
    <x v="0"/>
    <n v="761"/>
    <n v="1"/>
    <n v="761"/>
    <x v="2"/>
    <x v="3"/>
    <x v="6"/>
    <x v="29"/>
  </r>
  <r>
    <x v="173"/>
    <s v="2025-02-25"/>
    <x v="5"/>
    <n v="2025"/>
    <s v="CUST750"/>
    <s v="Customer_143"/>
    <x v="2"/>
    <x v="0"/>
    <x v="3"/>
    <n v="1014"/>
    <n v="3"/>
    <n v="3042"/>
    <x v="0"/>
    <x v="2"/>
    <x v="1"/>
    <x v="9"/>
  </r>
  <r>
    <x v="174"/>
    <s v="2024-10-25"/>
    <x v="9"/>
    <n v="2024"/>
    <s v="CUST362"/>
    <s v="Customer_75"/>
    <x v="2"/>
    <x v="1"/>
    <x v="13"/>
    <n v="918"/>
    <n v="3"/>
    <n v="2754"/>
    <x v="4"/>
    <x v="2"/>
    <x v="1"/>
    <x v="14"/>
  </r>
  <r>
    <x v="175"/>
    <s v="2024-11-22"/>
    <x v="2"/>
    <n v="2024"/>
    <s v="CUST669"/>
    <s v="Customer_117"/>
    <x v="1"/>
    <x v="2"/>
    <x v="5"/>
    <n v="838"/>
    <n v="1"/>
    <n v="838"/>
    <x v="1"/>
    <x v="2"/>
    <x v="4"/>
    <x v="2"/>
  </r>
  <r>
    <x v="176"/>
    <s v="2025-03-24"/>
    <x v="0"/>
    <n v="2025"/>
    <s v="CUST222"/>
    <s v="Customer_191"/>
    <x v="0"/>
    <x v="2"/>
    <x v="5"/>
    <n v="948"/>
    <n v="4"/>
    <n v="3792"/>
    <x v="0"/>
    <x v="3"/>
    <x v="7"/>
    <x v="18"/>
  </r>
  <r>
    <x v="177"/>
    <s v="2024-12-16"/>
    <x v="4"/>
    <n v="2024"/>
    <s v="CUST667"/>
    <s v="Customer_199"/>
    <x v="0"/>
    <x v="1"/>
    <x v="13"/>
    <n v="1062"/>
    <n v="2"/>
    <n v="2124"/>
    <x v="1"/>
    <x v="2"/>
    <x v="5"/>
    <x v="22"/>
  </r>
  <r>
    <x v="178"/>
    <s v="2024-12-28"/>
    <x v="4"/>
    <n v="2024"/>
    <s v="CUST401"/>
    <s v="Customer_170"/>
    <x v="2"/>
    <x v="2"/>
    <x v="8"/>
    <n v="1382"/>
    <n v="1"/>
    <n v="1382"/>
    <x v="4"/>
    <x v="2"/>
    <x v="1"/>
    <x v="12"/>
  </r>
  <r>
    <x v="179"/>
    <s v="2024-02-03"/>
    <x v="5"/>
    <n v="2024"/>
    <s v="CUST176"/>
    <s v="Customer_114"/>
    <x v="0"/>
    <x v="1"/>
    <x v="2"/>
    <n v="1480"/>
    <n v="4"/>
    <n v="5920"/>
    <x v="2"/>
    <x v="2"/>
    <x v="4"/>
    <x v="17"/>
  </r>
  <r>
    <x v="180"/>
    <s v="2024-04-08"/>
    <x v="1"/>
    <n v="2024"/>
    <s v="CUST575"/>
    <s v="Customer_84"/>
    <x v="0"/>
    <x v="0"/>
    <x v="6"/>
    <n v="406"/>
    <n v="3"/>
    <n v="1218"/>
    <x v="3"/>
    <x v="1"/>
    <x v="5"/>
    <x v="14"/>
  </r>
  <r>
    <x v="181"/>
    <s v="2024-06-25"/>
    <x v="8"/>
    <n v="2024"/>
    <s v="CUST343"/>
    <s v="Customer_161"/>
    <x v="0"/>
    <x v="2"/>
    <x v="5"/>
    <n v="470"/>
    <n v="5"/>
    <n v="2350"/>
    <x v="0"/>
    <x v="0"/>
    <x v="7"/>
    <x v="9"/>
  </r>
  <r>
    <x v="182"/>
    <s v="2025-03-09"/>
    <x v="0"/>
    <n v="2025"/>
    <s v="CUST182"/>
    <s v="Customer_294"/>
    <x v="2"/>
    <x v="0"/>
    <x v="10"/>
    <n v="1058"/>
    <n v="4"/>
    <n v="4232"/>
    <x v="2"/>
    <x v="0"/>
    <x v="3"/>
    <x v="24"/>
  </r>
  <r>
    <x v="183"/>
    <s v="2024-12-17"/>
    <x v="4"/>
    <n v="2024"/>
    <s v="CUST969"/>
    <s v="Customer_62"/>
    <x v="2"/>
    <x v="2"/>
    <x v="12"/>
    <n v="406"/>
    <n v="4"/>
    <n v="1624"/>
    <x v="3"/>
    <x v="0"/>
    <x v="0"/>
    <x v="20"/>
  </r>
  <r>
    <x v="184"/>
    <s v="2024-06-03"/>
    <x v="8"/>
    <n v="2024"/>
    <s v="CUST403"/>
    <s v="Customer_170"/>
    <x v="2"/>
    <x v="0"/>
    <x v="6"/>
    <n v="1314"/>
    <n v="4"/>
    <n v="5256"/>
    <x v="4"/>
    <x v="2"/>
    <x v="1"/>
    <x v="16"/>
  </r>
  <r>
    <x v="185"/>
    <s v="2024-03-02"/>
    <x v="0"/>
    <n v="2024"/>
    <s v="CUST506"/>
    <s v="Customer_258"/>
    <x v="1"/>
    <x v="0"/>
    <x v="0"/>
    <n v="314"/>
    <n v="1"/>
    <n v="314"/>
    <x v="0"/>
    <x v="0"/>
    <x v="3"/>
    <x v="23"/>
  </r>
  <r>
    <x v="186"/>
    <s v="2024-11-28"/>
    <x v="2"/>
    <n v="2024"/>
    <s v="CUST812"/>
    <s v="Customer_12"/>
    <x v="1"/>
    <x v="0"/>
    <x v="10"/>
    <n v="888"/>
    <n v="1"/>
    <n v="888"/>
    <x v="3"/>
    <x v="0"/>
    <x v="1"/>
    <x v="21"/>
  </r>
  <r>
    <x v="187"/>
    <s v="2024-11-26"/>
    <x v="2"/>
    <n v="2024"/>
    <s v="CUST235"/>
    <s v="Customer_166"/>
    <x v="0"/>
    <x v="1"/>
    <x v="2"/>
    <n v="476"/>
    <n v="4"/>
    <n v="1904"/>
    <x v="2"/>
    <x v="3"/>
    <x v="1"/>
    <x v="27"/>
  </r>
  <r>
    <x v="188"/>
    <s v="2024-06-28"/>
    <x v="8"/>
    <n v="2024"/>
    <s v="CUST408"/>
    <s v="Customer_294"/>
    <x v="2"/>
    <x v="2"/>
    <x v="8"/>
    <n v="1279"/>
    <n v="2"/>
    <n v="2558"/>
    <x v="0"/>
    <x v="0"/>
    <x v="1"/>
    <x v="4"/>
  </r>
  <r>
    <x v="189"/>
    <s v="2024-09-01"/>
    <x v="11"/>
    <n v="2024"/>
    <s v="CUST528"/>
    <s v="Customer_40"/>
    <x v="0"/>
    <x v="0"/>
    <x v="3"/>
    <n v="262"/>
    <n v="4"/>
    <n v="1048"/>
    <x v="4"/>
    <x v="0"/>
    <x v="7"/>
    <x v="7"/>
  </r>
  <r>
    <x v="190"/>
    <s v="2025-04-05"/>
    <x v="1"/>
    <n v="2025"/>
    <s v="CUST542"/>
    <s v="Customer_203"/>
    <x v="2"/>
    <x v="1"/>
    <x v="1"/>
    <n v="449"/>
    <n v="3"/>
    <n v="1347"/>
    <x v="0"/>
    <x v="3"/>
    <x v="5"/>
    <x v="9"/>
  </r>
  <r>
    <x v="191"/>
    <s v="2024-07-27"/>
    <x v="6"/>
    <n v="2024"/>
    <s v="CUST603"/>
    <s v="Customer_37"/>
    <x v="0"/>
    <x v="0"/>
    <x v="10"/>
    <n v="1357"/>
    <n v="1"/>
    <n v="1357"/>
    <x v="3"/>
    <x v="3"/>
    <x v="0"/>
    <x v="22"/>
  </r>
  <r>
    <x v="192"/>
    <s v="2024-01-15"/>
    <x v="3"/>
    <n v="2024"/>
    <s v="CUST817"/>
    <s v="Customer_177"/>
    <x v="1"/>
    <x v="2"/>
    <x v="7"/>
    <n v="256"/>
    <n v="3"/>
    <n v="768"/>
    <x v="1"/>
    <x v="2"/>
    <x v="6"/>
    <x v="5"/>
  </r>
  <r>
    <x v="193"/>
    <s v="2024-09-08"/>
    <x v="11"/>
    <n v="2024"/>
    <s v="CUST309"/>
    <s v="Customer_139"/>
    <x v="1"/>
    <x v="2"/>
    <x v="7"/>
    <n v="1276"/>
    <n v="4"/>
    <n v="5104"/>
    <x v="3"/>
    <x v="0"/>
    <x v="5"/>
    <x v="25"/>
  </r>
  <r>
    <x v="194"/>
    <s v="2024-11-26"/>
    <x v="2"/>
    <n v="2024"/>
    <s v="CUST225"/>
    <s v="Customer_267"/>
    <x v="2"/>
    <x v="0"/>
    <x v="3"/>
    <n v="1271"/>
    <n v="1"/>
    <n v="1271"/>
    <x v="2"/>
    <x v="2"/>
    <x v="1"/>
    <x v="3"/>
  </r>
  <r>
    <x v="195"/>
    <s v="2025-01-12"/>
    <x v="3"/>
    <n v="2025"/>
    <s v="CUST934"/>
    <s v="Customer_83"/>
    <x v="2"/>
    <x v="0"/>
    <x v="9"/>
    <n v="1135"/>
    <n v="4"/>
    <n v="4540"/>
    <x v="4"/>
    <x v="2"/>
    <x v="2"/>
    <x v="10"/>
  </r>
  <r>
    <x v="196"/>
    <s v="2024-03-05"/>
    <x v="0"/>
    <n v="2024"/>
    <s v="CUST811"/>
    <s v="Customer_223"/>
    <x v="2"/>
    <x v="0"/>
    <x v="9"/>
    <n v="981"/>
    <n v="2"/>
    <n v="1962"/>
    <x v="1"/>
    <x v="0"/>
    <x v="6"/>
    <x v="0"/>
  </r>
  <r>
    <x v="197"/>
    <s v="2024-01-15"/>
    <x v="3"/>
    <n v="2024"/>
    <s v="CUST414"/>
    <s v="Customer_266"/>
    <x v="2"/>
    <x v="1"/>
    <x v="1"/>
    <n v="1219"/>
    <n v="5"/>
    <n v="6095"/>
    <x v="2"/>
    <x v="1"/>
    <x v="3"/>
    <x v="21"/>
  </r>
  <r>
    <x v="198"/>
    <s v="2025-08-11"/>
    <x v="10"/>
    <n v="2025"/>
    <s v="CUST924"/>
    <s v="Customer_150"/>
    <x v="0"/>
    <x v="0"/>
    <x v="6"/>
    <n v="969"/>
    <n v="2"/>
    <n v="1938"/>
    <x v="4"/>
    <x v="0"/>
    <x v="5"/>
    <x v="23"/>
  </r>
  <r>
    <x v="199"/>
    <s v="2024-02-03"/>
    <x v="5"/>
    <n v="2024"/>
    <s v="CUST744"/>
    <s v="Customer_113"/>
    <x v="0"/>
    <x v="0"/>
    <x v="3"/>
    <n v="1007"/>
    <n v="3"/>
    <n v="3021"/>
    <x v="1"/>
    <x v="3"/>
    <x v="7"/>
    <x v="9"/>
  </r>
  <r>
    <x v="200"/>
    <s v="2025-05-03"/>
    <x v="7"/>
    <n v="2025"/>
    <s v="CUST379"/>
    <s v="Customer_196"/>
    <x v="2"/>
    <x v="0"/>
    <x v="6"/>
    <n v="598"/>
    <n v="3"/>
    <n v="1794"/>
    <x v="3"/>
    <x v="0"/>
    <x v="4"/>
    <x v="24"/>
  </r>
  <r>
    <x v="201"/>
    <s v="2024-12-19"/>
    <x v="4"/>
    <n v="2024"/>
    <s v="CUST823"/>
    <s v="Customer_134"/>
    <x v="1"/>
    <x v="1"/>
    <x v="13"/>
    <n v="1082"/>
    <n v="4"/>
    <n v="4328"/>
    <x v="2"/>
    <x v="0"/>
    <x v="3"/>
    <x v="1"/>
  </r>
  <r>
    <x v="202"/>
    <s v="2024-09-05"/>
    <x v="11"/>
    <n v="2024"/>
    <s v="CUST969"/>
    <s v="Customer_147"/>
    <x v="1"/>
    <x v="0"/>
    <x v="6"/>
    <n v="1342"/>
    <n v="5"/>
    <n v="6710"/>
    <x v="3"/>
    <x v="1"/>
    <x v="2"/>
    <x v="20"/>
  </r>
  <r>
    <x v="203"/>
    <s v="2024-02-06"/>
    <x v="5"/>
    <n v="2024"/>
    <s v="CUST547"/>
    <s v="Customer_225"/>
    <x v="2"/>
    <x v="1"/>
    <x v="2"/>
    <n v="410"/>
    <n v="5"/>
    <n v="2050"/>
    <x v="4"/>
    <x v="3"/>
    <x v="0"/>
    <x v="11"/>
  </r>
  <r>
    <x v="204"/>
    <s v="2024-03-27"/>
    <x v="0"/>
    <n v="2024"/>
    <s v="CUST283"/>
    <s v="Customer_50"/>
    <x v="2"/>
    <x v="0"/>
    <x v="3"/>
    <n v="1402"/>
    <n v="3"/>
    <n v="4206"/>
    <x v="0"/>
    <x v="3"/>
    <x v="7"/>
    <x v="23"/>
  </r>
  <r>
    <x v="205"/>
    <s v="2024-08-20"/>
    <x v="10"/>
    <n v="2024"/>
    <s v="CUST545"/>
    <s v="Customer_114"/>
    <x v="0"/>
    <x v="0"/>
    <x v="10"/>
    <n v="606"/>
    <n v="5"/>
    <n v="3030"/>
    <x v="4"/>
    <x v="1"/>
    <x v="0"/>
    <x v="6"/>
  </r>
  <r>
    <x v="206"/>
    <s v="2025-04-02"/>
    <x v="1"/>
    <n v="2025"/>
    <s v="CUST559"/>
    <s v="Customer_15"/>
    <x v="0"/>
    <x v="0"/>
    <x v="3"/>
    <n v="958"/>
    <n v="3"/>
    <n v="2874"/>
    <x v="4"/>
    <x v="1"/>
    <x v="6"/>
    <x v="8"/>
  </r>
  <r>
    <x v="207"/>
    <s v="2025-03-09"/>
    <x v="0"/>
    <n v="2025"/>
    <s v="CUST827"/>
    <s v="Customer_65"/>
    <x v="1"/>
    <x v="2"/>
    <x v="12"/>
    <n v="611"/>
    <n v="3"/>
    <n v="1833"/>
    <x v="4"/>
    <x v="3"/>
    <x v="6"/>
    <x v="5"/>
  </r>
  <r>
    <x v="208"/>
    <s v="2024-10-16"/>
    <x v="9"/>
    <n v="2024"/>
    <s v="CUST976"/>
    <s v="Customer_81"/>
    <x v="2"/>
    <x v="0"/>
    <x v="0"/>
    <n v="405"/>
    <n v="4"/>
    <n v="1620"/>
    <x v="1"/>
    <x v="1"/>
    <x v="6"/>
    <x v="0"/>
  </r>
  <r>
    <x v="209"/>
    <s v="2025-03-06"/>
    <x v="0"/>
    <n v="2025"/>
    <s v="CUST517"/>
    <s v="Customer_299"/>
    <x v="0"/>
    <x v="2"/>
    <x v="8"/>
    <n v="937"/>
    <n v="2"/>
    <n v="1874"/>
    <x v="4"/>
    <x v="2"/>
    <x v="1"/>
    <x v="25"/>
  </r>
  <r>
    <x v="210"/>
    <s v="2024-04-11"/>
    <x v="1"/>
    <n v="2024"/>
    <s v="CUST213"/>
    <s v="Customer_200"/>
    <x v="1"/>
    <x v="2"/>
    <x v="8"/>
    <n v="1285"/>
    <n v="4"/>
    <n v="5140"/>
    <x v="3"/>
    <x v="1"/>
    <x v="3"/>
    <x v="22"/>
  </r>
  <r>
    <x v="211"/>
    <s v="2024-12-02"/>
    <x v="4"/>
    <n v="2024"/>
    <s v="CUST360"/>
    <s v="Customer_154"/>
    <x v="1"/>
    <x v="0"/>
    <x v="10"/>
    <n v="820"/>
    <n v="5"/>
    <n v="4100"/>
    <x v="0"/>
    <x v="0"/>
    <x v="2"/>
    <x v="13"/>
  </r>
  <r>
    <x v="212"/>
    <s v="2024-06-22"/>
    <x v="8"/>
    <n v="2024"/>
    <s v="CUST537"/>
    <s v="Customer_114"/>
    <x v="2"/>
    <x v="2"/>
    <x v="12"/>
    <n v="777"/>
    <n v="1"/>
    <n v="777"/>
    <x v="4"/>
    <x v="0"/>
    <x v="0"/>
    <x v="26"/>
  </r>
  <r>
    <x v="213"/>
    <s v="2025-05-05"/>
    <x v="7"/>
    <n v="2025"/>
    <s v="CUST895"/>
    <s v="Customer_244"/>
    <x v="2"/>
    <x v="1"/>
    <x v="1"/>
    <n v="883"/>
    <n v="3"/>
    <n v="2649"/>
    <x v="0"/>
    <x v="1"/>
    <x v="4"/>
    <x v="23"/>
  </r>
  <r>
    <x v="214"/>
    <s v="2025-04-30"/>
    <x v="1"/>
    <n v="2025"/>
    <s v="CUST921"/>
    <s v="Customer_271"/>
    <x v="1"/>
    <x v="1"/>
    <x v="4"/>
    <n v="261"/>
    <n v="3"/>
    <n v="783"/>
    <x v="3"/>
    <x v="3"/>
    <x v="7"/>
    <x v="30"/>
  </r>
  <r>
    <x v="215"/>
    <s v="2025-05-27"/>
    <x v="7"/>
    <n v="2025"/>
    <s v="CUST653"/>
    <s v="Customer_214"/>
    <x v="1"/>
    <x v="0"/>
    <x v="10"/>
    <n v="1201"/>
    <n v="2"/>
    <n v="2402"/>
    <x v="1"/>
    <x v="3"/>
    <x v="4"/>
    <x v="5"/>
  </r>
  <r>
    <x v="216"/>
    <s v="2024-12-31"/>
    <x v="4"/>
    <n v="2024"/>
    <s v="CUST296"/>
    <s v="Customer_122"/>
    <x v="1"/>
    <x v="0"/>
    <x v="9"/>
    <n v="1173"/>
    <n v="4"/>
    <n v="4692"/>
    <x v="0"/>
    <x v="1"/>
    <x v="0"/>
    <x v="3"/>
  </r>
  <r>
    <x v="217"/>
    <s v="2024-08-06"/>
    <x v="10"/>
    <n v="2024"/>
    <s v="CUST171"/>
    <s v="Customer_245"/>
    <x v="0"/>
    <x v="1"/>
    <x v="1"/>
    <n v="854"/>
    <n v="3"/>
    <n v="2562"/>
    <x v="3"/>
    <x v="3"/>
    <x v="6"/>
    <x v="13"/>
  </r>
  <r>
    <x v="218"/>
    <s v="2024-09-13"/>
    <x v="11"/>
    <n v="2024"/>
    <s v="CUST860"/>
    <s v="Customer_24"/>
    <x v="2"/>
    <x v="1"/>
    <x v="4"/>
    <n v="855"/>
    <n v="4"/>
    <n v="3420"/>
    <x v="2"/>
    <x v="1"/>
    <x v="3"/>
    <x v="23"/>
  </r>
  <r>
    <x v="219"/>
    <s v="2024-10-12"/>
    <x v="9"/>
    <n v="2024"/>
    <s v="CUST894"/>
    <s v="Customer_218"/>
    <x v="2"/>
    <x v="2"/>
    <x v="8"/>
    <n v="894"/>
    <n v="5"/>
    <n v="4470"/>
    <x v="0"/>
    <x v="3"/>
    <x v="3"/>
    <x v="13"/>
  </r>
  <r>
    <x v="220"/>
    <s v="2024-05-26"/>
    <x v="7"/>
    <n v="2024"/>
    <s v="CUST122"/>
    <s v="Customer_149"/>
    <x v="2"/>
    <x v="2"/>
    <x v="7"/>
    <n v="986"/>
    <n v="1"/>
    <n v="986"/>
    <x v="4"/>
    <x v="0"/>
    <x v="2"/>
    <x v="11"/>
  </r>
  <r>
    <x v="221"/>
    <s v="2024-09-12"/>
    <x v="11"/>
    <n v="2024"/>
    <s v="CUST684"/>
    <s v="Customer_115"/>
    <x v="1"/>
    <x v="2"/>
    <x v="8"/>
    <n v="1381"/>
    <n v="2"/>
    <n v="2762"/>
    <x v="1"/>
    <x v="0"/>
    <x v="5"/>
    <x v="23"/>
  </r>
  <r>
    <x v="222"/>
    <s v="2024-09-15"/>
    <x v="11"/>
    <n v="2024"/>
    <s v="CUST563"/>
    <s v="Customer_276"/>
    <x v="0"/>
    <x v="2"/>
    <x v="11"/>
    <n v="1281"/>
    <n v="3"/>
    <n v="3843"/>
    <x v="2"/>
    <x v="0"/>
    <x v="6"/>
    <x v="28"/>
  </r>
  <r>
    <x v="223"/>
    <s v="2024-06-15"/>
    <x v="8"/>
    <n v="2024"/>
    <s v="CUST208"/>
    <s v="Customer_237"/>
    <x v="0"/>
    <x v="2"/>
    <x v="7"/>
    <n v="256"/>
    <n v="4"/>
    <n v="1024"/>
    <x v="3"/>
    <x v="2"/>
    <x v="4"/>
    <x v="10"/>
  </r>
  <r>
    <x v="224"/>
    <s v="2024-02-02"/>
    <x v="5"/>
    <n v="2024"/>
    <s v="CUST510"/>
    <s v="Customer_188"/>
    <x v="0"/>
    <x v="1"/>
    <x v="1"/>
    <n v="488"/>
    <n v="1"/>
    <n v="488"/>
    <x v="4"/>
    <x v="3"/>
    <x v="0"/>
    <x v="0"/>
  </r>
  <r>
    <x v="225"/>
    <s v="2024-03-25"/>
    <x v="0"/>
    <n v="2024"/>
    <s v="CUST781"/>
    <s v="Customer_279"/>
    <x v="2"/>
    <x v="1"/>
    <x v="4"/>
    <n v="840"/>
    <n v="5"/>
    <n v="4200"/>
    <x v="2"/>
    <x v="3"/>
    <x v="3"/>
    <x v="25"/>
  </r>
  <r>
    <x v="226"/>
    <s v="2024-04-21"/>
    <x v="1"/>
    <n v="2024"/>
    <s v="CUST620"/>
    <s v="Customer_146"/>
    <x v="2"/>
    <x v="2"/>
    <x v="11"/>
    <n v="521"/>
    <n v="2"/>
    <n v="1042"/>
    <x v="4"/>
    <x v="1"/>
    <x v="7"/>
    <x v="12"/>
  </r>
  <r>
    <x v="227"/>
    <s v="2025-06-10"/>
    <x v="8"/>
    <n v="2025"/>
    <s v="CUST452"/>
    <s v="Customer_19"/>
    <x v="2"/>
    <x v="0"/>
    <x v="10"/>
    <n v="1016"/>
    <n v="3"/>
    <n v="3048"/>
    <x v="4"/>
    <x v="2"/>
    <x v="1"/>
    <x v="13"/>
  </r>
  <r>
    <x v="228"/>
    <s v="2025-06-15"/>
    <x v="8"/>
    <n v="2025"/>
    <s v="CUST975"/>
    <s v="Customer_187"/>
    <x v="2"/>
    <x v="1"/>
    <x v="2"/>
    <n v="1025"/>
    <n v="1"/>
    <n v="1025"/>
    <x v="0"/>
    <x v="2"/>
    <x v="7"/>
    <x v="26"/>
  </r>
  <r>
    <x v="229"/>
    <s v="2024-12-25"/>
    <x v="4"/>
    <n v="2024"/>
    <s v="CUST987"/>
    <s v="Customer_185"/>
    <x v="1"/>
    <x v="1"/>
    <x v="14"/>
    <n v="1190"/>
    <n v="4"/>
    <n v="4760"/>
    <x v="4"/>
    <x v="0"/>
    <x v="1"/>
    <x v="3"/>
  </r>
  <r>
    <x v="230"/>
    <s v="2025-07-24"/>
    <x v="6"/>
    <n v="2025"/>
    <s v="CUST496"/>
    <s v="Customer_259"/>
    <x v="0"/>
    <x v="2"/>
    <x v="11"/>
    <n v="885"/>
    <n v="2"/>
    <n v="1770"/>
    <x v="3"/>
    <x v="1"/>
    <x v="3"/>
    <x v="13"/>
  </r>
  <r>
    <x v="231"/>
    <s v="2024-08-26"/>
    <x v="10"/>
    <n v="2024"/>
    <s v="CUST971"/>
    <s v="Customer_227"/>
    <x v="0"/>
    <x v="1"/>
    <x v="13"/>
    <n v="789"/>
    <n v="5"/>
    <n v="3945"/>
    <x v="1"/>
    <x v="0"/>
    <x v="0"/>
    <x v="20"/>
  </r>
  <r>
    <x v="232"/>
    <s v="2025-06-04"/>
    <x v="8"/>
    <n v="2025"/>
    <s v="CUST375"/>
    <s v="Customer_278"/>
    <x v="1"/>
    <x v="1"/>
    <x v="13"/>
    <n v="648"/>
    <n v="5"/>
    <n v="3240"/>
    <x v="2"/>
    <x v="3"/>
    <x v="5"/>
    <x v="12"/>
  </r>
  <r>
    <x v="233"/>
    <s v="2025-01-21"/>
    <x v="3"/>
    <n v="2025"/>
    <s v="CUST671"/>
    <s v="Customer_217"/>
    <x v="1"/>
    <x v="1"/>
    <x v="1"/>
    <n v="932"/>
    <n v="1"/>
    <n v="932"/>
    <x v="4"/>
    <x v="2"/>
    <x v="7"/>
    <x v="11"/>
  </r>
  <r>
    <x v="234"/>
    <s v="2024-11-09"/>
    <x v="2"/>
    <n v="2024"/>
    <s v="CUST346"/>
    <s v="Customer_54"/>
    <x v="0"/>
    <x v="1"/>
    <x v="2"/>
    <n v="1317"/>
    <n v="3"/>
    <n v="3951"/>
    <x v="1"/>
    <x v="0"/>
    <x v="6"/>
    <x v="20"/>
  </r>
  <r>
    <x v="235"/>
    <s v="2024-03-20"/>
    <x v="0"/>
    <n v="2024"/>
    <s v="CUST385"/>
    <s v="Customer_175"/>
    <x v="0"/>
    <x v="2"/>
    <x v="5"/>
    <n v="1485"/>
    <n v="2"/>
    <n v="2970"/>
    <x v="0"/>
    <x v="1"/>
    <x v="1"/>
    <x v="25"/>
  </r>
  <r>
    <x v="236"/>
    <s v="2025-03-13"/>
    <x v="0"/>
    <n v="2025"/>
    <s v="CUST900"/>
    <s v="Customer_253"/>
    <x v="1"/>
    <x v="1"/>
    <x v="2"/>
    <n v="708"/>
    <n v="5"/>
    <n v="3540"/>
    <x v="3"/>
    <x v="3"/>
    <x v="6"/>
    <x v="0"/>
  </r>
  <r>
    <x v="237"/>
    <s v="2024-04-29"/>
    <x v="1"/>
    <n v="2024"/>
    <s v="CUST886"/>
    <s v="Customer_7"/>
    <x v="2"/>
    <x v="1"/>
    <x v="2"/>
    <n v="1372"/>
    <n v="3"/>
    <n v="4116"/>
    <x v="1"/>
    <x v="1"/>
    <x v="4"/>
    <x v="26"/>
  </r>
  <r>
    <x v="238"/>
    <s v="2024-04-22"/>
    <x v="1"/>
    <n v="2024"/>
    <s v="CUST950"/>
    <s v="Customer_113"/>
    <x v="2"/>
    <x v="2"/>
    <x v="12"/>
    <n v="866"/>
    <n v="2"/>
    <n v="1732"/>
    <x v="0"/>
    <x v="1"/>
    <x v="0"/>
    <x v="13"/>
  </r>
  <r>
    <x v="239"/>
    <s v="2024-10-04"/>
    <x v="9"/>
    <n v="2024"/>
    <s v="CUST710"/>
    <s v="Customer_151"/>
    <x v="2"/>
    <x v="0"/>
    <x v="0"/>
    <n v="757"/>
    <n v="3"/>
    <n v="2271"/>
    <x v="1"/>
    <x v="0"/>
    <x v="5"/>
    <x v="7"/>
  </r>
  <r>
    <x v="240"/>
    <s v="2025-06-06"/>
    <x v="8"/>
    <n v="2025"/>
    <s v="CUST326"/>
    <s v="Customer_261"/>
    <x v="1"/>
    <x v="0"/>
    <x v="9"/>
    <n v="1079"/>
    <n v="4"/>
    <n v="4316"/>
    <x v="4"/>
    <x v="2"/>
    <x v="7"/>
    <x v="4"/>
  </r>
  <r>
    <x v="241"/>
    <s v="2024-06-30"/>
    <x v="8"/>
    <n v="2024"/>
    <s v="CUST997"/>
    <s v="Customer_76"/>
    <x v="0"/>
    <x v="1"/>
    <x v="14"/>
    <n v="1034"/>
    <n v="5"/>
    <n v="5170"/>
    <x v="4"/>
    <x v="3"/>
    <x v="3"/>
    <x v="4"/>
  </r>
  <r>
    <x v="242"/>
    <s v="2025-03-06"/>
    <x v="0"/>
    <n v="2025"/>
    <s v="CUST260"/>
    <s v="Customer_49"/>
    <x v="1"/>
    <x v="2"/>
    <x v="8"/>
    <n v="849"/>
    <n v="5"/>
    <n v="4245"/>
    <x v="3"/>
    <x v="0"/>
    <x v="4"/>
    <x v="23"/>
  </r>
  <r>
    <x v="243"/>
    <s v="2024-10-20"/>
    <x v="9"/>
    <n v="2024"/>
    <s v="CUST571"/>
    <s v="Customer_258"/>
    <x v="1"/>
    <x v="0"/>
    <x v="9"/>
    <n v="286"/>
    <n v="2"/>
    <n v="572"/>
    <x v="4"/>
    <x v="1"/>
    <x v="0"/>
    <x v="1"/>
  </r>
  <r>
    <x v="244"/>
    <s v="2024-10-14"/>
    <x v="9"/>
    <n v="2024"/>
    <s v="CUST247"/>
    <s v="Customer_225"/>
    <x v="0"/>
    <x v="1"/>
    <x v="1"/>
    <n v="1319"/>
    <n v="2"/>
    <n v="2638"/>
    <x v="2"/>
    <x v="0"/>
    <x v="6"/>
    <x v="21"/>
  </r>
  <r>
    <x v="245"/>
    <s v="2024-01-28"/>
    <x v="3"/>
    <n v="2024"/>
    <s v="CUST823"/>
    <s v="Customer_220"/>
    <x v="0"/>
    <x v="2"/>
    <x v="12"/>
    <n v="1001"/>
    <n v="2"/>
    <n v="2002"/>
    <x v="1"/>
    <x v="2"/>
    <x v="1"/>
    <x v="28"/>
  </r>
  <r>
    <x v="246"/>
    <s v="2025-08-12"/>
    <x v="10"/>
    <n v="2025"/>
    <s v="CUST374"/>
    <s v="Customer_10"/>
    <x v="1"/>
    <x v="0"/>
    <x v="6"/>
    <n v="587"/>
    <n v="1"/>
    <n v="587"/>
    <x v="4"/>
    <x v="3"/>
    <x v="3"/>
    <x v="11"/>
  </r>
  <r>
    <x v="247"/>
    <s v="2024-10-21"/>
    <x v="9"/>
    <n v="2024"/>
    <s v="CUST304"/>
    <s v="Customer_17"/>
    <x v="2"/>
    <x v="0"/>
    <x v="3"/>
    <n v="926"/>
    <n v="2"/>
    <n v="1852"/>
    <x v="4"/>
    <x v="2"/>
    <x v="5"/>
    <x v="5"/>
  </r>
  <r>
    <x v="248"/>
    <s v="2025-05-28"/>
    <x v="7"/>
    <n v="2025"/>
    <s v="CUST196"/>
    <s v="Customer_221"/>
    <x v="2"/>
    <x v="1"/>
    <x v="2"/>
    <n v="1319"/>
    <n v="2"/>
    <n v="2638"/>
    <x v="2"/>
    <x v="3"/>
    <x v="0"/>
    <x v="29"/>
  </r>
  <r>
    <x v="249"/>
    <s v="2025-01-06"/>
    <x v="3"/>
    <n v="2025"/>
    <s v="CUST672"/>
    <s v="Customer_112"/>
    <x v="0"/>
    <x v="2"/>
    <x v="8"/>
    <n v="606"/>
    <n v="3"/>
    <n v="1818"/>
    <x v="4"/>
    <x v="2"/>
    <x v="6"/>
    <x v="2"/>
  </r>
  <r>
    <x v="250"/>
    <s v="2025-08-03"/>
    <x v="10"/>
    <n v="2025"/>
    <s v="CUST206"/>
    <s v="Customer_291"/>
    <x v="2"/>
    <x v="1"/>
    <x v="13"/>
    <n v="319"/>
    <n v="3"/>
    <n v="957"/>
    <x v="2"/>
    <x v="0"/>
    <x v="5"/>
    <x v="3"/>
  </r>
  <r>
    <x v="251"/>
    <s v="2024-08-21"/>
    <x v="10"/>
    <n v="2024"/>
    <s v="CUST642"/>
    <s v="Customer_256"/>
    <x v="0"/>
    <x v="0"/>
    <x v="3"/>
    <n v="1363"/>
    <n v="3"/>
    <n v="4089"/>
    <x v="0"/>
    <x v="2"/>
    <x v="7"/>
    <x v="15"/>
  </r>
  <r>
    <x v="252"/>
    <s v="2024-09-30"/>
    <x v="11"/>
    <n v="2024"/>
    <s v="CUST491"/>
    <s v="Customer_141"/>
    <x v="0"/>
    <x v="2"/>
    <x v="11"/>
    <n v="893"/>
    <n v="4"/>
    <n v="3572"/>
    <x v="0"/>
    <x v="1"/>
    <x v="2"/>
    <x v="9"/>
  </r>
  <r>
    <x v="253"/>
    <s v="2024-12-12"/>
    <x v="4"/>
    <n v="2024"/>
    <s v="CUST633"/>
    <s v="Customer_156"/>
    <x v="0"/>
    <x v="0"/>
    <x v="10"/>
    <n v="1336"/>
    <n v="3"/>
    <n v="4008"/>
    <x v="3"/>
    <x v="0"/>
    <x v="5"/>
    <x v="25"/>
  </r>
  <r>
    <x v="254"/>
    <s v="2024-09-08"/>
    <x v="11"/>
    <n v="2024"/>
    <s v="CUST452"/>
    <s v="Customer_35"/>
    <x v="2"/>
    <x v="1"/>
    <x v="2"/>
    <n v="684"/>
    <n v="2"/>
    <n v="1368"/>
    <x v="2"/>
    <x v="3"/>
    <x v="7"/>
    <x v="17"/>
  </r>
  <r>
    <x v="255"/>
    <s v="2024-10-02"/>
    <x v="9"/>
    <n v="2024"/>
    <s v="CUST155"/>
    <s v="Customer_210"/>
    <x v="2"/>
    <x v="1"/>
    <x v="14"/>
    <n v="932"/>
    <n v="4"/>
    <n v="3728"/>
    <x v="3"/>
    <x v="2"/>
    <x v="6"/>
    <x v="20"/>
  </r>
  <r>
    <x v="256"/>
    <s v="2024-12-30"/>
    <x v="4"/>
    <n v="2024"/>
    <s v="CUST401"/>
    <s v="Customer_49"/>
    <x v="0"/>
    <x v="1"/>
    <x v="1"/>
    <n v="1051"/>
    <n v="5"/>
    <n v="5255"/>
    <x v="3"/>
    <x v="2"/>
    <x v="1"/>
    <x v="28"/>
  </r>
  <r>
    <x v="257"/>
    <s v="2024-09-13"/>
    <x v="11"/>
    <n v="2024"/>
    <s v="CUST997"/>
    <s v="Customer_216"/>
    <x v="2"/>
    <x v="0"/>
    <x v="9"/>
    <n v="285"/>
    <n v="1"/>
    <n v="285"/>
    <x v="4"/>
    <x v="3"/>
    <x v="0"/>
    <x v="12"/>
  </r>
  <r>
    <x v="258"/>
    <s v="2025-02-03"/>
    <x v="5"/>
    <n v="2025"/>
    <s v="CUST941"/>
    <s v="Customer_31"/>
    <x v="0"/>
    <x v="1"/>
    <x v="13"/>
    <n v="1149"/>
    <n v="5"/>
    <n v="5745"/>
    <x v="0"/>
    <x v="3"/>
    <x v="1"/>
    <x v="14"/>
  </r>
  <r>
    <x v="259"/>
    <s v="2024-04-14"/>
    <x v="1"/>
    <n v="2024"/>
    <s v="CUST576"/>
    <s v="Customer_174"/>
    <x v="2"/>
    <x v="2"/>
    <x v="7"/>
    <n v="1181"/>
    <n v="2"/>
    <n v="2362"/>
    <x v="4"/>
    <x v="2"/>
    <x v="2"/>
    <x v="22"/>
  </r>
  <r>
    <x v="260"/>
    <s v="2024-05-14"/>
    <x v="7"/>
    <n v="2024"/>
    <s v="CUST754"/>
    <s v="Customer_140"/>
    <x v="0"/>
    <x v="2"/>
    <x v="12"/>
    <n v="1025"/>
    <n v="4"/>
    <n v="4100"/>
    <x v="0"/>
    <x v="0"/>
    <x v="1"/>
    <x v="25"/>
  </r>
  <r>
    <x v="261"/>
    <s v="2025-03-18"/>
    <x v="0"/>
    <n v="2025"/>
    <s v="CUST698"/>
    <s v="Customer_151"/>
    <x v="1"/>
    <x v="0"/>
    <x v="10"/>
    <n v="1087"/>
    <n v="5"/>
    <n v="5435"/>
    <x v="0"/>
    <x v="0"/>
    <x v="6"/>
    <x v="8"/>
  </r>
  <r>
    <x v="262"/>
    <s v="2024-05-03"/>
    <x v="7"/>
    <n v="2024"/>
    <s v="CUST599"/>
    <s v="Customer_113"/>
    <x v="0"/>
    <x v="1"/>
    <x v="14"/>
    <n v="1264"/>
    <n v="4"/>
    <n v="5056"/>
    <x v="4"/>
    <x v="3"/>
    <x v="2"/>
    <x v="14"/>
  </r>
  <r>
    <x v="263"/>
    <s v="2025-07-04"/>
    <x v="6"/>
    <n v="2025"/>
    <s v="CUST444"/>
    <s v="Customer_42"/>
    <x v="0"/>
    <x v="0"/>
    <x v="10"/>
    <n v="1447"/>
    <n v="3"/>
    <n v="4341"/>
    <x v="3"/>
    <x v="2"/>
    <x v="0"/>
    <x v="12"/>
  </r>
  <r>
    <x v="264"/>
    <s v="2024-01-21"/>
    <x v="3"/>
    <n v="2024"/>
    <s v="CUST278"/>
    <s v="Customer_264"/>
    <x v="0"/>
    <x v="2"/>
    <x v="8"/>
    <n v="796"/>
    <n v="2"/>
    <n v="1592"/>
    <x v="1"/>
    <x v="0"/>
    <x v="0"/>
    <x v="21"/>
  </r>
  <r>
    <x v="265"/>
    <s v="2024-02-28"/>
    <x v="5"/>
    <n v="2024"/>
    <s v="CUST463"/>
    <s v="Customer_287"/>
    <x v="2"/>
    <x v="2"/>
    <x v="7"/>
    <n v="1407"/>
    <n v="2"/>
    <n v="2814"/>
    <x v="3"/>
    <x v="2"/>
    <x v="1"/>
    <x v="28"/>
  </r>
  <r>
    <x v="266"/>
    <s v="2025-01-26"/>
    <x v="3"/>
    <n v="2025"/>
    <s v="CUST523"/>
    <s v="Customer_224"/>
    <x v="2"/>
    <x v="1"/>
    <x v="13"/>
    <n v="950"/>
    <n v="3"/>
    <n v="2850"/>
    <x v="3"/>
    <x v="2"/>
    <x v="5"/>
    <x v="23"/>
  </r>
  <r>
    <x v="267"/>
    <s v="2025-03-10"/>
    <x v="0"/>
    <n v="2025"/>
    <s v="CUST352"/>
    <s v="Customer_258"/>
    <x v="1"/>
    <x v="0"/>
    <x v="9"/>
    <n v="852"/>
    <n v="5"/>
    <n v="4260"/>
    <x v="3"/>
    <x v="1"/>
    <x v="2"/>
    <x v="4"/>
  </r>
  <r>
    <x v="268"/>
    <s v="2024-09-10"/>
    <x v="11"/>
    <n v="2024"/>
    <s v="CUST128"/>
    <s v="Customer_234"/>
    <x v="2"/>
    <x v="1"/>
    <x v="4"/>
    <n v="918"/>
    <n v="2"/>
    <n v="1836"/>
    <x v="0"/>
    <x v="0"/>
    <x v="6"/>
    <x v="22"/>
  </r>
  <r>
    <x v="269"/>
    <s v="2025-01-14"/>
    <x v="3"/>
    <n v="2025"/>
    <s v="CUST534"/>
    <s v="Customer_222"/>
    <x v="0"/>
    <x v="1"/>
    <x v="14"/>
    <n v="739"/>
    <n v="5"/>
    <n v="3695"/>
    <x v="0"/>
    <x v="0"/>
    <x v="4"/>
    <x v="13"/>
  </r>
  <r>
    <x v="270"/>
    <s v="2024-08-10"/>
    <x v="10"/>
    <n v="2024"/>
    <s v="CUST971"/>
    <s v="Customer_214"/>
    <x v="1"/>
    <x v="1"/>
    <x v="1"/>
    <n v="1368"/>
    <n v="3"/>
    <n v="4104"/>
    <x v="2"/>
    <x v="2"/>
    <x v="0"/>
    <x v="26"/>
  </r>
  <r>
    <x v="271"/>
    <s v="2025-05-27"/>
    <x v="7"/>
    <n v="2025"/>
    <s v="CUST235"/>
    <s v="Customer_43"/>
    <x v="0"/>
    <x v="0"/>
    <x v="0"/>
    <n v="565"/>
    <n v="2"/>
    <n v="1130"/>
    <x v="1"/>
    <x v="0"/>
    <x v="3"/>
    <x v="28"/>
  </r>
  <r>
    <x v="272"/>
    <s v="2024-11-16"/>
    <x v="2"/>
    <n v="2024"/>
    <s v="CUST968"/>
    <s v="Customer_29"/>
    <x v="2"/>
    <x v="0"/>
    <x v="0"/>
    <n v="904"/>
    <n v="1"/>
    <n v="904"/>
    <x v="1"/>
    <x v="3"/>
    <x v="1"/>
    <x v="6"/>
  </r>
  <r>
    <x v="273"/>
    <s v="2025-07-07"/>
    <x v="6"/>
    <n v="2025"/>
    <s v="CUST249"/>
    <s v="Customer_23"/>
    <x v="0"/>
    <x v="0"/>
    <x v="9"/>
    <n v="392"/>
    <n v="3"/>
    <n v="1176"/>
    <x v="1"/>
    <x v="0"/>
    <x v="6"/>
    <x v="4"/>
  </r>
  <r>
    <x v="274"/>
    <s v="2024-12-01"/>
    <x v="4"/>
    <n v="2024"/>
    <s v="CUST685"/>
    <s v="Customer_271"/>
    <x v="2"/>
    <x v="0"/>
    <x v="10"/>
    <n v="1183"/>
    <n v="3"/>
    <n v="3549"/>
    <x v="2"/>
    <x v="0"/>
    <x v="3"/>
    <x v="17"/>
  </r>
  <r>
    <x v="275"/>
    <s v="2024-03-10"/>
    <x v="0"/>
    <n v="2024"/>
    <s v="CUST880"/>
    <s v="Customer_164"/>
    <x v="0"/>
    <x v="2"/>
    <x v="5"/>
    <n v="410"/>
    <n v="2"/>
    <n v="820"/>
    <x v="4"/>
    <x v="2"/>
    <x v="4"/>
    <x v="30"/>
  </r>
  <r>
    <x v="276"/>
    <s v="2025-07-10"/>
    <x v="6"/>
    <n v="2025"/>
    <s v="CUST733"/>
    <s v="Customer_210"/>
    <x v="2"/>
    <x v="2"/>
    <x v="12"/>
    <n v="1496"/>
    <n v="3"/>
    <n v="4488"/>
    <x v="1"/>
    <x v="1"/>
    <x v="0"/>
    <x v="30"/>
  </r>
  <r>
    <x v="277"/>
    <s v="2025-04-09"/>
    <x v="1"/>
    <n v="2025"/>
    <s v="CUST990"/>
    <s v="Customer_179"/>
    <x v="1"/>
    <x v="2"/>
    <x v="12"/>
    <n v="317"/>
    <n v="2"/>
    <n v="634"/>
    <x v="2"/>
    <x v="0"/>
    <x v="3"/>
    <x v="13"/>
  </r>
  <r>
    <x v="278"/>
    <s v="2024-08-19"/>
    <x v="10"/>
    <n v="2024"/>
    <s v="CUST613"/>
    <s v="Customer_173"/>
    <x v="1"/>
    <x v="1"/>
    <x v="1"/>
    <n v="1336"/>
    <n v="5"/>
    <n v="6680"/>
    <x v="3"/>
    <x v="1"/>
    <x v="5"/>
    <x v="14"/>
  </r>
  <r>
    <x v="279"/>
    <s v="2024-07-16"/>
    <x v="6"/>
    <n v="2024"/>
    <s v="CUST509"/>
    <s v="Customer_213"/>
    <x v="0"/>
    <x v="0"/>
    <x v="6"/>
    <n v="1028"/>
    <n v="5"/>
    <n v="5140"/>
    <x v="0"/>
    <x v="3"/>
    <x v="5"/>
    <x v="24"/>
  </r>
  <r>
    <x v="280"/>
    <s v="2025-04-15"/>
    <x v="1"/>
    <n v="2025"/>
    <s v="CUST941"/>
    <s v="Customer_83"/>
    <x v="1"/>
    <x v="1"/>
    <x v="4"/>
    <n v="700"/>
    <n v="4"/>
    <n v="2800"/>
    <x v="2"/>
    <x v="0"/>
    <x v="6"/>
    <x v="11"/>
  </r>
  <r>
    <x v="281"/>
    <s v="2025-05-04"/>
    <x v="7"/>
    <n v="2025"/>
    <s v="CUST352"/>
    <s v="Customer_273"/>
    <x v="1"/>
    <x v="1"/>
    <x v="4"/>
    <n v="812"/>
    <n v="1"/>
    <n v="812"/>
    <x v="0"/>
    <x v="2"/>
    <x v="2"/>
    <x v="19"/>
  </r>
  <r>
    <x v="282"/>
    <s v="2024-11-27"/>
    <x v="2"/>
    <n v="2024"/>
    <s v="CUST634"/>
    <s v="Customer_19"/>
    <x v="1"/>
    <x v="2"/>
    <x v="11"/>
    <n v="550"/>
    <n v="5"/>
    <n v="2750"/>
    <x v="2"/>
    <x v="2"/>
    <x v="3"/>
    <x v="9"/>
  </r>
  <r>
    <x v="283"/>
    <s v="2024-03-27"/>
    <x v="0"/>
    <n v="2024"/>
    <s v="CUST563"/>
    <s v="Customer_93"/>
    <x v="0"/>
    <x v="0"/>
    <x v="10"/>
    <n v="1164"/>
    <n v="1"/>
    <n v="1164"/>
    <x v="4"/>
    <x v="1"/>
    <x v="7"/>
    <x v="30"/>
  </r>
  <r>
    <x v="284"/>
    <s v="2024-09-17"/>
    <x v="11"/>
    <n v="2024"/>
    <s v="CUST896"/>
    <s v="Customer_139"/>
    <x v="2"/>
    <x v="1"/>
    <x v="2"/>
    <n v="1213"/>
    <n v="4"/>
    <n v="4852"/>
    <x v="3"/>
    <x v="2"/>
    <x v="6"/>
    <x v="30"/>
  </r>
  <r>
    <x v="285"/>
    <s v="2024-09-09"/>
    <x v="11"/>
    <n v="2024"/>
    <s v="CUST661"/>
    <s v="Customer_285"/>
    <x v="2"/>
    <x v="1"/>
    <x v="4"/>
    <n v="827"/>
    <n v="4"/>
    <n v="3308"/>
    <x v="4"/>
    <x v="3"/>
    <x v="0"/>
    <x v="22"/>
  </r>
  <r>
    <x v="286"/>
    <s v="2025-05-04"/>
    <x v="7"/>
    <n v="2025"/>
    <s v="CUST836"/>
    <s v="Customer_298"/>
    <x v="0"/>
    <x v="0"/>
    <x v="3"/>
    <n v="1168"/>
    <n v="5"/>
    <n v="5840"/>
    <x v="2"/>
    <x v="2"/>
    <x v="4"/>
    <x v="21"/>
  </r>
  <r>
    <x v="287"/>
    <s v="2024-08-26"/>
    <x v="10"/>
    <n v="2024"/>
    <s v="CUST739"/>
    <s v="Customer_22"/>
    <x v="2"/>
    <x v="0"/>
    <x v="9"/>
    <n v="1191"/>
    <n v="1"/>
    <n v="1191"/>
    <x v="4"/>
    <x v="0"/>
    <x v="2"/>
    <x v="21"/>
  </r>
  <r>
    <x v="288"/>
    <s v="2025-06-23"/>
    <x v="8"/>
    <n v="2025"/>
    <s v="CUST225"/>
    <s v="Customer_90"/>
    <x v="2"/>
    <x v="0"/>
    <x v="6"/>
    <n v="994"/>
    <n v="3"/>
    <n v="2982"/>
    <x v="1"/>
    <x v="0"/>
    <x v="2"/>
    <x v="14"/>
  </r>
  <r>
    <x v="289"/>
    <s v="2024-04-15"/>
    <x v="1"/>
    <n v="2024"/>
    <s v="CUST345"/>
    <s v="Customer_197"/>
    <x v="0"/>
    <x v="0"/>
    <x v="9"/>
    <n v="1437"/>
    <n v="2"/>
    <n v="2874"/>
    <x v="0"/>
    <x v="0"/>
    <x v="7"/>
    <x v="25"/>
  </r>
  <r>
    <x v="290"/>
    <s v="2025-04-08"/>
    <x v="1"/>
    <n v="2025"/>
    <s v="CUST624"/>
    <s v="Customer_117"/>
    <x v="1"/>
    <x v="2"/>
    <x v="8"/>
    <n v="910"/>
    <n v="2"/>
    <n v="1820"/>
    <x v="3"/>
    <x v="0"/>
    <x v="7"/>
    <x v="25"/>
  </r>
  <r>
    <x v="291"/>
    <s v="2024-08-06"/>
    <x v="10"/>
    <n v="2024"/>
    <s v="CUST471"/>
    <s v="Customer_279"/>
    <x v="2"/>
    <x v="2"/>
    <x v="8"/>
    <n v="1137"/>
    <n v="1"/>
    <n v="1137"/>
    <x v="4"/>
    <x v="1"/>
    <x v="6"/>
    <x v="18"/>
  </r>
  <r>
    <x v="292"/>
    <s v="2024-01-24"/>
    <x v="3"/>
    <n v="2024"/>
    <s v="CUST543"/>
    <s v="Customer_98"/>
    <x v="2"/>
    <x v="0"/>
    <x v="9"/>
    <n v="882"/>
    <n v="4"/>
    <n v="3528"/>
    <x v="1"/>
    <x v="2"/>
    <x v="0"/>
    <x v="30"/>
  </r>
  <r>
    <x v="293"/>
    <s v="2024-06-01"/>
    <x v="8"/>
    <n v="2024"/>
    <s v="CUST572"/>
    <s v="Customer_182"/>
    <x v="2"/>
    <x v="2"/>
    <x v="8"/>
    <n v="901"/>
    <n v="1"/>
    <n v="901"/>
    <x v="2"/>
    <x v="2"/>
    <x v="3"/>
    <x v="30"/>
  </r>
  <r>
    <x v="294"/>
    <s v="2025-06-06"/>
    <x v="8"/>
    <n v="2025"/>
    <s v="CUST685"/>
    <s v="Customer_245"/>
    <x v="2"/>
    <x v="1"/>
    <x v="1"/>
    <n v="899"/>
    <n v="4"/>
    <n v="3596"/>
    <x v="4"/>
    <x v="1"/>
    <x v="7"/>
    <x v="27"/>
  </r>
  <r>
    <x v="295"/>
    <s v="2025-04-16"/>
    <x v="1"/>
    <n v="2025"/>
    <s v="CUST713"/>
    <s v="Customer_77"/>
    <x v="1"/>
    <x v="2"/>
    <x v="12"/>
    <n v="689"/>
    <n v="5"/>
    <n v="3445"/>
    <x v="2"/>
    <x v="2"/>
    <x v="7"/>
    <x v="6"/>
  </r>
  <r>
    <x v="296"/>
    <s v="2024-09-01"/>
    <x v="11"/>
    <n v="2024"/>
    <s v="CUST132"/>
    <s v="Customer_89"/>
    <x v="2"/>
    <x v="2"/>
    <x v="7"/>
    <n v="220"/>
    <n v="1"/>
    <n v="220"/>
    <x v="2"/>
    <x v="3"/>
    <x v="1"/>
    <x v="3"/>
  </r>
  <r>
    <x v="297"/>
    <s v="2024-08-21"/>
    <x v="10"/>
    <n v="2024"/>
    <s v="CUST179"/>
    <s v="Customer_219"/>
    <x v="1"/>
    <x v="0"/>
    <x v="0"/>
    <n v="729"/>
    <n v="5"/>
    <n v="3645"/>
    <x v="4"/>
    <x v="1"/>
    <x v="1"/>
    <x v="18"/>
  </r>
  <r>
    <x v="298"/>
    <s v="2024-03-26"/>
    <x v="0"/>
    <n v="2024"/>
    <s v="CUST392"/>
    <s v="Customer_112"/>
    <x v="2"/>
    <x v="2"/>
    <x v="5"/>
    <n v="762"/>
    <n v="3"/>
    <n v="2286"/>
    <x v="0"/>
    <x v="0"/>
    <x v="2"/>
    <x v="9"/>
  </r>
  <r>
    <x v="299"/>
    <s v="2025-02-05"/>
    <x v="5"/>
    <n v="2025"/>
    <s v="CUST482"/>
    <s v="Customer_284"/>
    <x v="1"/>
    <x v="1"/>
    <x v="4"/>
    <n v="1399"/>
    <n v="2"/>
    <n v="2798"/>
    <x v="0"/>
    <x v="2"/>
    <x v="6"/>
    <x v="29"/>
  </r>
  <r>
    <x v="300"/>
    <s v="2025-06-19"/>
    <x v="8"/>
    <n v="2025"/>
    <s v="CUST227"/>
    <s v="Customer_164"/>
    <x v="1"/>
    <x v="2"/>
    <x v="8"/>
    <n v="1081"/>
    <n v="2"/>
    <n v="2162"/>
    <x v="0"/>
    <x v="0"/>
    <x v="7"/>
    <x v="22"/>
  </r>
  <r>
    <x v="301"/>
    <s v="2024-05-17"/>
    <x v="7"/>
    <n v="2024"/>
    <s v="CUST686"/>
    <s v="Customer_99"/>
    <x v="2"/>
    <x v="0"/>
    <x v="0"/>
    <n v="807"/>
    <n v="2"/>
    <n v="1614"/>
    <x v="1"/>
    <x v="2"/>
    <x v="6"/>
    <x v="13"/>
  </r>
  <r>
    <x v="302"/>
    <s v="2025-07-30"/>
    <x v="6"/>
    <n v="2025"/>
    <s v="CUST876"/>
    <s v="Customer_148"/>
    <x v="1"/>
    <x v="1"/>
    <x v="1"/>
    <n v="1481"/>
    <n v="1"/>
    <n v="1481"/>
    <x v="1"/>
    <x v="3"/>
    <x v="5"/>
    <x v="23"/>
  </r>
  <r>
    <x v="303"/>
    <s v="2024-04-11"/>
    <x v="1"/>
    <n v="2024"/>
    <s v="CUST676"/>
    <s v="Customer_51"/>
    <x v="2"/>
    <x v="2"/>
    <x v="12"/>
    <n v="653"/>
    <n v="3"/>
    <n v="1959"/>
    <x v="0"/>
    <x v="3"/>
    <x v="5"/>
    <x v="4"/>
  </r>
  <r>
    <x v="304"/>
    <s v="2025-08-20"/>
    <x v="10"/>
    <n v="2025"/>
    <s v="CUST882"/>
    <s v="Customer_184"/>
    <x v="2"/>
    <x v="0"/>
    <x v="6"/>
    <n v="836"/>
    <n v="2"/>
    <n v="1672"/>
    <x v="4"/>
    <x v="2"/>
    <x v="2"/>
    <x v="1"/>
  </r>
  <r>
    <x v="305"/>
    <s v="2024-03-12"/>
    <x v="0"/>
    <n v="2024"/>
    <s v="CUST372"/>
    <s v="Customer_97"/>
    <x v="2"/>
    <x v="2"/>
    <x v="12"/>
    <n v="1307"/>
    <n v="3"/>
    <n v="3921"/>
    <x v="0"/>
    <x v="0"/>
    <x v="4"/>
    <x v="24"/>
  </r>
  <r>
    <x v="306"/>
    <s v="2024-12-13"/>
    <x v="4"/>
    <n v="2024"/>
    <s v="CUST212"/>
    <s v="Customer_286"/>
    <x v="0"/>
    <x v="2"/>
    <x v="8"/>
    <n v="1256"/>
    <n v="5"/>
    <n v="6280"/>
    <x v="0"/>
    <x v="0"/>
    <x v="7"/>
    <x v="8"/>
  </r>
  <r>
    <x v="307"/>
    <s v="2024-07-18"/>
    <x v="6"/>
    <n v="2024"/>
    <s v="CUST486"/>
    <s v="Customer_52"/>
    <x v="1"/>
    <x v="2"/>
    <x v="12"/>
    <n v="1158"/>
    <n v="2"/>
    <n v="2316"/>
    <x v="1"/>
    <x v="2"/>
    <x v="3"/>
    <x v="4"/>
  </r>
  <r>
    <x v="308"/>
    <s v="2025-06-06"/>
    <x v="8"/>
    <n v="2025"/>
    <s v="CUST512"/>
    <s v="Customer_81"/>
    <x v="2"/>
    <x v="0"/>
    <x v="0"/>
    <n v="1169"/>
    <n v="4"/>
    <n v="4676"/>
    <x v="3"/>
    <x v="1"/>
    <x v="4"/>
    <x v="9"/>
  </r>
  <r>
    <x v="309"/>
    <s v="2025-08-09"/>
    <x v="10"/>
    <n v="2025"/>
    <s v="CUST469"/>
    <s v="Customer_118"/>
    <x v="0"/>
    <x v="2"/>
    <x v="5"/>
    <n v="811"/>
    <n v="3"/>
    <n v="2433"/>
    <x v="1"/>
    <x v="1"/>
    <x v="2"/>
    <x v="0"/>
  </r>
  <r>
    <x v="310"/>
    <s v="2025-05-10"/>
    <x v="7"/>
    <n v="2025"/>
    <s v="CUST353"/>
    <s v="Customer_250"/>
    <x v="2"/>
    <x v="2"/>
    <x v="5"/>
    <n v="356"/>
    <n v="5"/>
    <n v="1780"/>
    <x v="1"/>
    <x v="2"/>
    <x v="7"/>
    <x v="12"/>
  </r>
  <r>
    <x v="311"/>
    <s v="2025-06-14"/>
    <x v="8"/>
    <n v="2025"/>
    <s v="CUST544"/>
    <s v="Customer_90"/>
    <x v="2"/>
    <x v="0"/>
    <x v="3"/>
    <n v="728"/>
    <n v="3"/>
    <n v="2184"/>
    <x v="3"/>
    <x v="0"/>
    <x v="1"/>
    <x v="16"/>
  </r>
  <r>
    <x v="312"/>
    <s v="2024-05-28"/>
    <x v="7"/>
    <n v="2024"/>
    <s v="CUST548"/>
    <s v="Customer_187"/>
    <x v="1"/>
    <x v="1"/>
    <x v="2"/>
    <n v="419"/>
    <n v="5"/>
    <n v="2095"/>
    <x v="3"/>
    <x v="2"/>
    <x v="6"/>
    <x v="21"/>
  </r>
  <r>
    <x v="313"/>
    <s v="2025-01-11"/>
    <x v="3"/>
    <n v="2025"/>
    <s v="CUST685"/>
    <s v="Customer_40"/>
    <x v="2"/>
    <x v="1"/>
    <x v="14"/>
    <n v="546"/>
    <n v="3"/>
    <n v="1638"/>
    <x v="0"/>
    <x v="3"/>
    <x v="4"/>
    <x v="18"/>
  </r>
  <r>
    <x v="314"/>
    <s v="2024-12-21"/>
    <x v="4"/>
    <n v="2024"/>
    <s v="CUST967"/>
    <s v="Customer_68"/>
    <x v="1"/>
    <x v="1"/>
    <x v="14"/>
    <n v="1165"/>
    <n v="2"/>
    <n v="2330"/>
    <x v="0"/>
    <x v="0"/>
    <x v="0"/>
    <x v="9"/>
  </r>
  <r>
    <x v="315"/>
    <s v="2025-08-16"/>
    <x v="10"/>
    <n v="2025"/>
    <s v="CUST433"/>
    <s v="Customer_139"/>
    <x v="1"/>
    <x v="1"/>
    <x v="4"/>
    <n v="944"/>
    <n v="5"/>
    <n v="4720"/>
    <x v="2"/>
    <x v="1"/>
    <x v="5"/>
    <x v="24"/>
  </r>
  <r>
    <x v="316"/>
    <s v="2024-06-06"/>
    <x v="8"/>
    <n v="2024"/>
    <s v="CUST152"/>
    <s v="Customer_270"/>
    <x v="1"/>
    <x v="1"/>
    <x v="1"/>
    <n v="275"/>
    <n v="3"/>
    <n v="825"/>
    <x v="0"/>
    <x v="2"/>
    <x v="2"/>
    <x v="11"/>
  </r>
  <r>
    <x v="317"/>
    <s v="2025-07-24"/>
    <x v="6"/>
    <n v="2025"/>
    <s v="CUST951"/>
    <s v="Customer_191"/>
    <x v="0"/>
    <x v="0"/>
    <x v="9"/>
    <n v="1148"/>
    <n v="2"/>
    <n v="2296"/>
    <x v="4"/>
    <x v="0"/>
    <x v="4"/>
    <x v="29"/>
  </r>
  <r>
    <x v="318"/>
    <s v="2025-04-15"/>
    <x v="1"/>
    <n v="2025"/>
    <s v="CUST191"/>
    <s v="Customer_29"/>
    <x v="1"/>
    <x v="2"/>
    <x v="7"/>
    <n v="1154"/>
    <n v="4"/>
    <n v="4616"/>
    <x v="3"/>
    <x v="0"/>
    <x v="3"/>
    <x v="1"/>
  </r>
  <r>
    <x v="319"/>
    <s v="2024-04-30"/>
    <x v="1"/>
    <n v="2024"/>
    <s v="CUST694"/>
    <s v="Customer_214"/>
    <x v="2"/>
    <x v="0"/>
    <x v="0"/>
    <n v="511"/>
    <n v="5"/>
    <n v="2555"/>
    <x v="1"/>
    <x v="0"/>
    <x v="3"/>
    <x v="13"/>
  </r>
  <r>
    <x v="320"/>
    <s v="2025-06-17"/>
    <x v="8"/>
    <n v="2025"/>
    <s v="CUST988"/>
    <s v="Customer_95"/>
    <x v="2"/>
    <x v="0"/>
    <x v="6"/>
    <n v="1202"/>
    <n v="2"/>
    <n v="2404"/>
    <x v="3"/>
    <x v="0"/>
    <x v="7"/>
    <x v="7"/>
  </r>
  <r>
    <x v="321"/>
    <s v="2025-02-06"/>
    <x v="5"/>
    <n v="2025"/>
    <s v="CUST304"/>
    <s v="Customer_180"/>
    <x v="1"/>
    <x v="1"/>
    <x v="1"/>
    <n v="748"/>
    <n v="3"/>
    <n v="2244"/>
    <x v="4"/>
    <x v="1"/>
    <x v="1"/>
    <x v="24"/>
  </r>
  <r>
    <x v="322"/>
    <s v="2024-10-22"/>
    <x v="9"/>
    <n v="2024"/>
    <s v="CUST367"/>
    <s v="Customer_127"/>
    <x v="0"/>
    <x v="1"/>
    <x v="2"/>
    <n v="1432"/>
    <n v="2"/>
    <n v="2864"/>
    <x v="1"/>
    <x v="2"/>
    <x v="2"/>
    <x v="24"/>
  </r>
  <r>
    <x v="323"/>
    <s v="2024-05-19"/>
    <x v="7"/>
    <n v="2024"/>
    <s v="CUST274"/>
    <s v="Customer_275"/>
    <x v="2"/>
    <x v="1"/>
    <x v="13"/>
    <n v="1234"/>
    <n v="3"/>
    <n v="3702"/>
    <x v="0"/>
    <x v="2"/>
    <x v="2"/>
    <x v="14"/>
  </r>
  <r>
    <x v="324"/>
    <s v="2024-10-18"/>
    <x v="9"/>
    <n v="2024"/>
    <s v="CUST603"/>
    <s v="Customer_173"/>
    <x v="2"/>
    <x v="1"/>
    <x v="14"/>
    <n v="1354"/>
    <n v="2"/>
    <n v="2708"/>
    <x v="2"/>
    <x v="1"/>
    <x v="4"/>
    <x v="25"/>
  </r>
  <r>
    <x v="325"/>
    <s v="2025-07-04"/>
    <x v="6"/>
    <n v="2025"/>
    <s v="CUST930"/>
    <s v="Customer_196"/>
    <x v="1"/>
    <x v="2"/>
    <x v="7"/>
    <n v="1403"/>
    <n v="1"/>
    <n v="1403"/>
    <x v="3"/>
    <x v="0"/>
    <x v="4"/>
    <x v="27"/>
  </r>
  <r>
    <x v="326"/>
    <s v="2025-05-25"/>
    <x v="7"/>
    <n v="2025"/>
    <s v="CUST795"/>
    <s v="Customer_295"/>
    <x v="2"/>
    <x v="1"/>
    <x v="14"/>
    <n v="552"/>
    <n v="1"/>
    <n v="552"/>
    <x v="3"/>
    <x v="2"/>
    <x v="6"/>
    <x v="18"/>
  </r>
  <r>
    <x v="327"/>
    <s v="2024-06-09"/>
    <x v="8"/>
    <n v="2024"/>
    <s v="CUST428"/>
    <s v="Customer_47"/>
    <x v="1"/>
    <x v="0"/>
    <x v="3"/>
    <n v="796"/>
    <n v="3"/>
    <n v="2388"/>
    <x v="3"/>
    <x v="1"/>
    <x v="3"/>
    <x v="30"/>
  </r>
  <r>
    <x v="328"/>
    <s v="2024-05-20"/>
    <x v="7"/>
    <n v="2024"/>
    <s v="CUST810"/>
    <s v="Customer_292"/>
    <x v="1"/>
    <x v="0"/>
    <x v="6"/>
    <n v="1240"/>
    <n v="1"/>
    <n v="1240"/>
    <x v="3"/>
    <x v="2"/>
    <x v="7"/>
    <x v="13"/>
  </r>
  <r>
    <x v="329"/>
    <s v="2024-09-14"/>
    <x v="11"/>
    <n v="2024"/>
    <s v="CUST609"/>
    <s v="Customer_82"/>
    <x v="2"/>
    <x v="1"/>
    <x v="2"/>
    <n v="738"/>
    <n v="1"/>
    <n v="738"/>
    <x v="2"/>
    <x v="3"/>
    <x v="7"/>
    <x v="21"/>
  </r>
  <r>
    <x v="330"/>
    <s v="2025-08-13"/>
    <x v="10"/>
    <n v="2025"/>
    <s v="CUST213"/>
    <s v="Customer_240"/>
    <x v="1"/>
    <x v="1"/>
    <x v="1"/>
    <n v="782"/>
    <n v="3"/>
    <n v="2346"/>
    <x v="1"/>
    <x v="1"/>
    <x v="3"/>
    <x v="16"/>
  </r>
  <r>
    <x v="331"/>
    <s v="2024-10-09"/>
    <x v="9"/>
    <n v="2024"/>
    <s v="CUST391"/>
    <s v="Customer_285"/>
    <x v="1"/>
    <x v="0"/>
    <x v="3"/>
    <n v="301"/>
    <n v="4"/>
    <n v="1204"/>
    <x v="3"/>
    <x v="1"/>
    <x v="2"/>
    <x v="19"/>
  </r>
  <r>
    <x v="332"/>
    <s v="2024-09-24"/>
    <x v="11"/>
    <n v="2024"/>
    <s v="CUST198"/>
    <s v="Customer_286"/>
    <x v="0"/>
    <x v="2"/>
    <x v="5"/>
    <n v="451"/>
    <n v="5"/>
    <n v="2255"/>
    <x v="3"/>
    <x v="3"/>
    <x v="6"/>
    <x v="15"/>
  </r>
  <r>
    <x v="333"/>
    <s v="2025-05-15"/>
    <x v="7"/>
    <n v="2025"/>
    <s v="CUST469"/>
    <s v="Customer_100"/>
    <x v="1"/>
    <x v="1"/>
    <x v="2"/>
    <n v="1332"/>
    <n v="3"/>
    <n v="3996"/>
    <x v="3"/>
    <x v="2"/>
    <x v="4"/>
    <x v="8"/>
  </r>
  <r>
    <x v="334"/>
    <s v="2025-08-06"/>
    <x v="10"/>
    <n v="2025"/>
    <s v="CUST129"/>
    <s v="Customer_107"/>
    <x v="0"/>
    <x v="0"/>
    <x v="0"/>
    <n v="988"/>
    <n v="1"/>
    <n v="988"/>
    <x v="0"/>
    <x v="2"/>
    <x v="5"/>
    <x v="12"/>
  </r>
  <r>
    <x v="335"/>
    <s v="2024-02-13"/>
    <x v="5"/>
    <n v="2024"/>
    <s v="CUST250"/>
    <s v="Customer_158"/>
    <x v="2"/>
    <x v="2"/>
    <x v="11"/>
    <n v="1418"/>
    <n v="1"/>
    <n v="1418"/>
    <x v="3"/>
    <x v="0"/>
    <x v="0"/>
    <x v="19"/>
  </r>
  <r>
    <x v="336"/>
    <s v="2025-03-07"/>
    <x v="0"/>
    <n v="2025"/>
    <s v="CUST489"/>
    <s v="Customer_239"/>
    <x v="2"/>
    <x v="2"/>
    <x v="12"/>
    <n v="273"/>
    <n v="1"/>
    <n v="273"/>
    <x v="2"/>
    <x v="1"/>
    <x v="4"/>
    <x v="5"/>
  </r>
  <r>
    <x v="337"/>
    <s v="2024-09-13"/>
    <x v="11"/>
    <n v="2024"/>
    <s v="CUST422"/>
    <s v="Customer_288"/>
    <x v="2"/>
    <x v="2"/>
    <x v="11"/>
    <n v="619"/>
    <n v="5"/>
    <n v="3095"/>
    <x v="2"/>
    <x v="3"/>
    <x v="6"/>
    <x v="30"/>
  </r>
  <r>
    <x v="338"/>
    <s v="2024-05-14"/>
    <x v="7"/>
    <n v="2024"/>
    <s v="CUST133"/>
    <s v="Customer_95"/>
    <x v="2"/>
    <x v="0"/>
    <x v="0"/>
    <n v="800"/>
    <n v="1"/>
    <n v="800"/>
    <x v="0"/>
    <x v="1"/>
    <x v="4"/>
    <x v="14"/>
  </r>
  <r>
    <x v="339"/>
    <s v="2025-07-15"/>
    <x v="6"/>
    <n v="2025"/>
    <s v="CUST826"/>
    <s v="Customer_123"/>
    <x v="1"/>
    <x v="2"/>
    <x v="8"/>
    <n v="1269"/>
    <n v="1"/>
    <n v="1269"/>
    <x v="3"/>
    <x v="3"/>
    <x v="7"/>
    <x v="18"/>
  </r>
  <r>
    <x v="340"/>
    <s v="2025-07-28"/>
    <x v="6"/>
    <n v="2025"/>
    <s v="CUST226"/>
    <s v="Customer_208"/>
    <x v="2"/>
    <x v="2"/>
    <x v="8"/>
    <n v="875"/>
    <n v="3"/>
    <n v="2625"/>
    <x v="2"/>
    <x v="2"/>
    <x v="5"/>
    <x v="10"/>
  </r>
  <r>
    <x v="341"/>
    <s v="2024-04-16"/>
    <x v="1"/>
    <n v="2024"/>
    <s v="CUST518"/>
    <s v="Customer_215"/>
    <x v="1"/>
    <x v="2"/>
    <x v="8"/>
    <n v="1049"/>
    <n v="4"/>
    <n v="4196"/>
    <x v="1"/>
    <x v="0"/>
    <x v="5"/>
    <x v="5"/>
  </r>
  <r>
    <x v="342"/>
    <s v="2024-11-12"/>
    <x v="2"/>
    <n v="2024"/>
    <s v="CUST435"/>
    <s v="Customer_164"/>
    <x v="2"/>
    <x v="2"/>
    <x v="11"/>
    <n v="369"/>
    <n v="1"/>
    <n v="369"/>
    <x v="0"/>
    <x v="3"/>
    <x v="6"/>
    <x v="23"/>
  </r>
  <r>
    <x v="343"/>
    <s v="2025-07-03"/>
    <x v="6"/>
    <n v="2025"/>
    <s v="CUST403"/>
    <s v="Customer_25"/>
    <x v="1"/>
    <x v="0"/>
    <x v="3"/>
    <n v="1345"/>
    <n v="5"/>
    <n v="6725"/>
    <x v="4"/>
    <x v="2"/>
    <x v="5"/>
    <x v="28"/>
  </r>
  <r>
    <x v="344"/>
    <s v="2025-06-14"/>
    <x v="8"/>
    <n v="2025"/>
    <s v="CUST415"/>
    <s v="Customer_84"/>
    <x v="0"/>
    <x v="0"/>
    <x v="9"/>
    <n v="517"/>
    <n v="3"/>
    <n v="1551"/>
    <x v="2"/>
    <x v="3"/>
    <x v="1"/>
    <x v="27"/>
  </r>
  <r>
    <x v="345"/>
    <s v="2024-07-22"/>
    <x v="6"/>
    <n v="2024"/>
    <s v="CUST912"/>
    <s v="Customer_200"/>
    <x v="1"/>
    <x v="0"/>
    <x v="3"/>
    <n v="864"/>
    <n v="2"/>
    <n v="1728"/>
    <x v="2"/>
    <x v="3"/>
    <x v="3"/>
    <x v="12"/>
  </r>
  <r>
    <x v="346"/>
    <s v="2024-04-01"/>
    <x v="1"/>
    <n v="2024"/>
    <s v="CUST877"/>
    <s v="Customer_197"/>
    <x v="0"/>
    <x v="2"/>
    <x v="12"/>
    <n v="938"/>
    <n v="5"/>
    <n v="4690"/>
    <x v="4"/>
    <x v="1"/>
    <x v="3"/>
    <x v="20"/>
  </r>
  <r>
    <x v="347"/>
    <s v="2024-12-04"/>
    <x v="4"/>
    <n v="2024"/>
    <s v="CUST259"/>
    <s v="Customer_153"/>
    <x v="0"/>
    <x v="1"/>
    <x v="2"/>
    <n v="712"/>
    <n v="4"/>
    <n v="2848"/>
    <x v="4"/>
    <x v="3"/>
    <x v="0"/>
    <x v="1"/>
  </r>
  <r>
    <x v="348"/>
    <s v="2025-08-16"/>
    <x v="10"/>
    <n v="2025"/>
    <s v="CUST240"/>
    <s v="Customer_171"/>
    <x v="2"/>
    <x v="1"/>
    <x v="2"/>
    <n v="518"/>
    <n v="2"/>
    <n v="1036"/>
    <x v="1"/>
    <x v="1"/>
    <x v="1"/>
    <x v="6"/>
  </r>
  <r>
    <x v="349"/>
    <s v="2024-06-30"/>
    <x v="8"/>
    <n v="2024"/>
    <s v="CUST457"/>
    <s v="Customer_183"/>
    <x v="2"/>
    <x v="0"/>
    <x v="6"/>
    <n v="933"/>
    <n v="4"/>
    <n v="3732"/>
    <x v="0"/>
    <x v="3"/>
    <x v="0"/>
    <x v="13"/>
  </r>
  <r>
    <x v="350"/>
    <s v="2024-10-26"/>
    <x v="9"/>
    <n v="2024"/>
    <s v="CUST132"/>
    <s v="Customer_129"/>
    <x v="1"/>
    <x v="1"/>
    <x v="2"/>
    <n v="1137"/>
    <n v="3"/>
    <n v="3411"/>
    <x v="4"/>
    <x v="1"/>
    <x v="7"/>
    <x v="22"/>
  </r>
  <r>
    <x v="351"/>
    <s v="2024-06-17"/>
    <x v="8"/>
    <n v="2024"/>
    <s v="CUST844"/>
    <s v="Customer_241"/>
    <x v="2"/>
    <x v="1"/>
    <x v="1"/>
    <n v="570"/>
    <n v="5"/>
    <n v="2850"/>
    <x v="3"/>
    <x v="2"/>
    <x v="0"/>
    <x v="8"/>
  </r>
  <r>
    <x v="352"/>
    <s v="2025-03-12"/>
    <x v="0"/>
    <n v="2025"/>
    <s v="CUST885"/>
    <s v="Customer_262"/>
    <x v="2"/>
    <x v="1"/>
    <x v="14"/>
    <n v="930"/>
    <n v="3"/>
    <n v="2790"/>
    <x v="0"/>
    <x v="2"/>
    <x v="1"/>
    <x v="15"/>
  </r>
  <r>
    <x v="353"/>
    <s v="2025-01-24"/>
    <x v="3"/>
    <n v="2025"/>
    <s v="CUST976"/>
    <s v="Customer_233"/>
    <x v="0"/>
    <x v="0"/>
    <x v="6"/>
    <n v="1211"/>
    <n v="4"/>
    <n v="4844"/>
    <x v="0"/>
    <x v="2"/>
    <x v="1"/>
    <x v="9"/>
  </r>
  <r>
    <x v="354"/>
    <s v="2025-05-02"/>
    <x v="7"/>
    <n v="2025"/>
    <s v="CUST374"/>
    <s v="Customer_266"/>
    <x v="1"/>
    <x v="2"/>
    <x v="7"/>
    <n v="1439"/>
    <n v="4"/>
    <n v="5756"/>
    <x v="2"/>
    <x v="1"/>
    <x v="0"/>
    <x v="16"/>
  </r>
  <r>
    <x v="355"/>
    <s v="2024-07-20"/>
    <x v="6"/>
    <n v="2024"/>
    <s v="CUST820"/>
    <s v="Customer_135"/>
    <x v="1"/>
    <x v="2"/>
    <x v="11"/>
    <n v="578"/>
    <n v="5"/>
    <n v="2890"/>
    <x v="0"/>
    <x v="1"/>
    <x v="4"/>
    <x v="13"/>
  </r>
  <r>
    <x v="356"/>
    <s v="2025-01-22"/>
    <x v="3"/>
    <n v="2025"/>
    <s v="CUST625"/>
    <s v="Customer_283"/>
    <x v="0"/>
    <x v="0"/>
    <x v="3"/>
    <n v="882"/>
    <n v="5"/>
    <n v="4410"/>
    <x v="3"/>
    <x v="1"/>
    <x v="1"/>
    <x v="0"/>
  </r>
  <r>
    <x v="357"/>
    <s v="2025-06-15"/>
    <x v="8"/>
    <n v="2025"/>
    <s v="CUST232"/>
    <s v="Customer_279"/>
    <x v="1"/>
    <x v="2"/>
    <x v="11"/>
    <n v="760"/>
    <n v="1"/>
    <n v="760"/>
    <x v="3"/>
    <x v="3"/>
    <x v="3"/>
    <x v="11"/>
  </r>
  <r>
    <x v="358"/>
    <s v="2025-05-18"/>
    <x v="7"/>
    <n v="2025"/>
    <s v="CUST605"/>
    <s v="Customer_73"/>
    <x v="0"/>
    <x v="1"/>
    <x v="2"/>
    <n v="1357"/>
    <n v="3"/>
    <n v="4071"/>
    <x v="3"/>
    <x v="1"/>
    <x v="6"/>
    <x v="20"/>
  </r>
  <r>
    <x v="359"/>
    <s v="2025-02-13"/>
    <x v="5"/>
    <n v="2025"/>
    <s v="CUST252"/>
    <s v="Customer_22"/>
    <x v="1"/>
    <x v="2"/>
    <x v="5"/>
    <n v="240"/>
    <n v="3"/>
    <n v="720"/>
    <x v="4"/>
    <x v="0"/>
    <x v="2"/>
    <x v="5"/>
  </r>
  <r>
    <x v="360"/>
    <s v="2025-07-01"/>
    <x v="6"/>
    <n v="2025"/>
    <s v="CUST834"/>
    <s v="Customer_219"/>
    <x v="2"/>
    <x v="1"/>
    <x v="14"/>
    <n v="222"/>
    <n v="3"/>
    <n v="666"/>
    <x v="4"/>
    <x v="0"/>
    <x v="0"/>
    <x v="6"/>
  </r>
  <r>
    <x v="361"/>
    <s v="2024-05-02"/>
    <x v="7"/>
    <n v="2024"/>
    <s v="CUST121"/>
    <s v="Customer_20"/>
    <x v="0"/>
    <x v="2"/>
    <x v="12"/>
    <n v="857"/>
    <n v="5"/>
    <n v="4285"/>
    <x v="3"/>
    <x v="2"/>
    <x v="6"/>
    <x v="30"/>
  </r>
  <r>
    <x v="362"/>
    <s v="2025-04-16"/>
    <x v="1"/>
    <n v="2025"/>
    <s v="CUST734"/>
    <s v="Customer_18"/>
    <x v="1"/>
    <x v="2"/>
    <x v="7"/>
    <n v="872"/>
    <n v="5"/>
    <n v="4360"/>
    <x v="0"/>
    <x v="0"/>
    <x v="0"/>
    <x v="25"/>
  </r>
  <r>
    <x v="363"/>
    <s v="2024-09-05"/>
    <x v="11"/>
    <n v="2024"/>
    <s v="CUST260"/>
    <s v="Customer_90"/>
    <x v="1"/>
    <x v="1"/>
    <x v="2"/>
    <n v="270"/>
    <n v="4"/>
    <n v="1080"/>
    <x v="1"/>
    <x v="1"/>
    <x v="2"/>
    <x v="29"/>
  </r>
  <r>
    <x v="364"/>
    <s v="2024-06-09"/>
    <x v="8"/>
    <n v="2024"/>
    <s v="CUST951"/>
    <s v="Customer_192"/>
    <x v="0"/>
    <x v="1"/>
    <x v="1"/>
    <n v="758"/>
    <n v="2"/>
    <n v="1516"/>
    <x v="2"/>
    <x v="2"/>
    <x v="2"/>
    <x v="10"/>
  </r>
  <r>
    <x v="365"/>
    <s v="2024-05-10"/>
    <x v="7"/>
    <n v="2024"/>
    <s v="CUST524"/>
    <s v="Customer_279"/>
    <x v="1"/>
    <x v="2"/>
    <x v="5"/>
    <n v="1191"/>
    <n v="5"/>
    <n v="5955"/>
    <x v="4"/>
    <x v="0"/>
    <x v="6"/>
    <x v="21"/>
  </r>
  <r>
    <x v="366"/>
    <s v="2024-04-20"/>
    <x v="1"/>
    <n v="2024"/>
    <s v="CUST166"/>
    <s v="Customer_69"/>
    <x v="2"/>
    <x v="1"/>
    <x v="14"/>
    <n v="235"/>
    <n v="2"/>
    <n v="470"/>
    <x v="2"/>
    <x v="1"/>
    <x v="2"/>
    <x v="3"/>
  </r>
  <r>
    <x v="367"/>
    <s v="2025-07-30"/>
    <x v="6"/>
    <n v="2025"/>
    <s v="CUST353"/>
    <s v="Customer_43"/>
    <x v="1"/>
    <x v="0"/>
    <x v="10"/>
    <n v="213"/>
    <n v="2"/>
    <n v="426"/>
    <x v="0"/>
    <x v="3"/>
    <x v="4"/>
    <x v="8"/>
  </r>
  <r>
    <x v="368"/>
    <s v="2024-09-07"/>
    <x v="11"/>
    <n v="2024"/>
    <s v="CUST689"/>
    <s v="Customer_193"/>
    <x v="0"/>
    <x v="1"/>
    <x v="13"/>
    <n v="944"/>
    <n v="1"/>
    <n v="944"/>
    <x v="1"/>
    <x v="0"/>
    <x v="3"/>
    <x v="7"/>
  </r>
  <r>
    <x v="369"/>
    <s v="2024-02-05"/>
    <x v="5"/>
    <n v="2024"/>
    <s v="CUST203"/>
    <s v="Customer_272"/>
    <x v="1"/>
    <x v="2"/>
    <x v="12"/>
    <n v="993"/>
    <n v="3"/>
    <n v="2979"/>
    <x v="0"/>
    <x v="2"/>
    <x v="0"/>
    <x v="6"/>
  </r>
  <r>
    <x v="370"/>
    <s v="2024-03-05"/>
    <x v="0"/>
    <n v="2024"/>
    <s v="CUST862"/>
    <s v="Customer_52"/>
    <x v="0"/>
    <x v="1"/>
    <x v="1"/>
    <n v="279"/>
    <n v="5"/>
    <n v="1395"/>
    <x v="4"/>
    <x v="0"/>
    <x v="5"/>
    <x v="4"/>
  </r>
  <r>
    <x v="371"/>
    <s v="2025-05-28"/>
    <x v="7"/>
    <n v="2025"/>
    <s v="CUST310"/>
    <s v="Customer_142"/>
    <x v="2"/>
    <x v="0"/>
    <x v="3"/>
    <n v="204"/>
    <n v="5"/>
    <n v="1020"/>
    <x v="3"/>
    <x v="1"/>
    <x v="7"/>
    <x v="17"/>
  </r>
  <r>
    <x v="372"/>
    <s v="2025-06-10"/>
    <x v="8"/>
    <n v="2025"/>
    <s v="CUST475"/>
    <s v="Customer_164"/>
    <x v="0"/>
    <x v="2"/>
    <x v="12"/>
    <n v="729"/>
    <n v="3"/>
    <n v="2187"/>
    <x v="2"/>
    <x v="2"/>
    <x v="6"/>
    <x v="25"/>
  </r>
  <r>
    <x v="373"/>
    <s v="2024-04-13"/>
    <x v="1"/>
    <n v="2024"/>
    <s v="CUST795"/>
    <s v="Customer_242"/>
    <x v="1"/>
    <x v="0"/>
    <x v="9"/>
    <n v="1207"/>
    <n v="5"/>
    <n v="6035"/>
    <x v="0"/>
    <x v="1"/>
    <x v="0"/>
    <x v="9"/>
  </r>
  <r>
    <x v="374"/>
    <s v="2024-01-25"/>
    <x v="3"/>
    <n v="2024"/>
    <s v="CUST235"/>
    <s v="Customer_94"/>
    <x v="0"/>
    <x v="2"/>
    <x v="5"/>
    <n v="536"/>
    <n v="5"/>
    <n v="2680"/>
    <x v="3"/>
    <x v="3"/>
    <x v="3"/>
    <x v="28"/>
  </r>
  <r>
    <x v="375"/>
    <s v="2025-01-26"/>
    <x v="3"/>
    <n v="2025"/>
    <s v="CUST700"/>
    <s v="Customer_111"/>
    <x v="1"/>
    <x v="0"/>
    <x v="0"/>
    <n v="1217"/>
    <n v="1"/>
    <n v="1217"/>
    <x v="4"/>
    <x v="3"/>
    <x v="1"/>
    <x v="25"/>
  </r>
  <r>
    <x v="376"/>
    <s v="2025-01-27"/>
    <x v="3"/>
    <n v="2025"/>
    <s v="CUST919"/>
    <s v="Customer_92"/>
    <x v="0"/>
    <x v="1"/>
    <x v="4"/>
    <n v="556"/>
    <n v="3"/>
    <n v="1668"/>
    <x v="4"/>
    <x v="3"/>
    <x v="1"/>
    <x v="2"/>
  </r>
  <r>
    <x v="377"/>
    <s v="2025-03-19"/>
    <x v="0"/>
    <n v="2025"/>
    <s v="CUST272"/>
    <s v="Customer_217"/>
    <x v="0"/>
    <x v="0"/>
    <x v="6"/>
    <n v="1050"/>
    <n v="5"/>
    <n v="5250"/>
    <x v="0"/>
    <x v="0"/>
    <x v="2"/>
    <x v="7"/>
  </r>
  <r>
    <x v="378"/>
    <s v="2025-06-25"/>
    <x v="8"/>
    <n v="2025"/>
    <s v="CUST358"/>
    <s v="Customer_132"/>
    <x v="1"/>
    <x v="1"/>
    <x v="1"/>
    <n v="906"/>
    <n v="4"/>
    <n v="3624"/>
    <x v="2"/>
    <x v="2"/>
    <x v="0"/>
    <x v="18"/>
  </r>
  <r>
    <x v="379"/>
    <s v="2025-02-15"/>
    <x v="5"/>
    <n v="2025"/>
    <s v="CUST187"/>
    <s v="Customer_96"/>
    <x v="1"/>
    <x v="1"/>
    <x v="2"/>
    <n v="759"/>
    <n v="2"/>
    <n v="1518"/>
    <x v="1"/>
    <x v="1"/>
    <x v="1"/>
    <x v="16"/>
  </r>
  <r>
    <x v="380"/>
    <s v="2025-01-24"/>
    <x v="3"/>
    <n v="2025"/>
    <s v="CUST582"/>
    <s v="Customer_289"/>
    <x v="2"/>
    <x v="0"/>
    <x v="10"/>
    <n v="841"/>
    <n v="3"/>
    <n v="2523"/>
    <x v="1"/>
    <x v="0"/>
    <x v="6"/>
    <x v="14"/>
  </r>
  <r>
    <x v="381"/>
    <s v="2024-12-26"/>
    <x v="4"/>
    <n v="2024"/>
    <s v="CUST348"/>
    <s v="Customer_250"/>
    <x v="1"/>
    <x v="1"/>
    <x v="2"/>
    <n v="798"/>
    <n v="5"/>
    <n v="3990"/>
    <x v="4"/>
    <x v="3"/>
    <x v="2"/>
    <x v="9"/>
  </r>
  <r>
    <x v="382"/>
    <s v="2025-07-18"/>
    <x v="6"/>
    <n v="2025"/>
    <s v="CUST625"/>
    <s v="Customer_11"/>
    <x v="2"/>
    <x v="2"/>
    <x v="7"/>
    <n v="1403"/>
    <n v="5"/>
    <n v="7015"/>
    <x v="4"/>
    <x v="2"/>
    <x v="6"/>
    <x v="23"/>
  </r>
  <r>
    <x v="383"/>
    <s v="2024-06-05"/>
    <x v="8"/>
    <n v="2024"/>
    <s v="CUST772"/>
    <s v="Customer_60"/>
    <x v="0"/>
    <x v="0"/>
    <x v="3"/>
    <n v="1326"/>
    <n v="5"/>
    <n v="6630"/>
    <x v="1"/>
    <x v="3"/>
    <x v="5"/>
    <x v="8"/>
  </r>
  <r>
    <x v="384"/>
    <s v="2024-11-30"/>
    <x v="2"/>
    <n v="2024"/>
    <s v="CUST271"/>
    <s v="Customer_157"/>
    <x v="0"/>
    <x v="1"/>
    <x v="14"/>
    <n v="310"/>
    <n v="5"/>
    <n v="1550"/>
    <x v="0"/>
    <x v="3"/>
    <x v="5"/>
    <x v="22"/>
  </r>
  <r>
    <x v="385"/>
    <s v="2024-01-08"/>
    <x v="3"/>
    <n v="2024"/>
    <s v="CUST186"/>
    <s v="Customer_120"/>
    <x v="0"/>
    <x v="1"/>
    <x v="2"/>
    <n v="399"/>
    <n v="1"/>
    <n v="399"/>
    <x v="1"/>
    <x v="0"/>
    <x v="5"/>
    <x v="17"/>
  </r>
  <r>
    <x v="386"/>
    <s v="2024-11-25"/>
    <x v="2"/>
    <n v="2024"/>
    <s v="CUST750"/>
    <s v="Customer_9"/>
    <x v="2"/>
    <x v="2"/>
    <x v="7"/>
    <n v="309"/>
    <n v="2"/>
    <n v="618"/>
    <x v="1"/>
    <x v="1"/>
    <x v="6"/>
    <x v="10"/>
  </r>
  <r>
    <x v="387"/>
    <s v="2025-05-15"/>
    <x v="7"/>
    <n v="2025"/>
    <s v="CUST349"/>
    <s v="Customer_275"/>
    <x v="0"/>
    <x v="0"/>
    <x v="10"/>
    <n v="948"/>
    <n v="2"/>
    <n v="1896"/>
    <x v="4"/>
    <x v="3"/>
    <x v="2"/>
    <x v="12"/>
  </r>
  <r>
    <x v="388"/>
    <s v="2025-05-30"/>
    <x v="7"/>
    <n v="2025"/>
    <s v="CUST589"/>
    <s v="Customer_14"/>
    <x v="2"/>
    <x v="2"/>
    <x v="12"/>
    <n v="807"/>
    <n v="2"/>
    <n v="1614"/>
    <x v="4"/>
    <x v="1"/>
    <x v="6"/>
    <x v="19"/>
  </r>
  <r>
    <x v="389"/>
    <s v="2024-11-10"/>
    <x v="2"/>
    <n v="2024"/>
    <s v="CUST730"/>
    <s v="Customer_192"/>
    <x v="2"/>
    <x v="1"/>
    <x v="1"/>
    <n v="785"/>
    <n v="5"/>
    <n v="3925"/>
    <x v="3"/>
    <x v="0"/>
    <x v="3"/>
    <x v="21"/>
  </r>
  <r>
    <x v="390"/>
    <s v="2025-03-21"/>
    <x v="0"/>
    <n v="2025"/>
    <s v="CUST566"/>
    <s v="Customer_284"/>
    <x v="1"/>
    <x v="0"/>
    <x v="6"/>
    <n v="282"/>
    <n v="2"/>
    <n v="564"/>
    <x v="3"/>
    <x v="1"/>
    <x v="7"/>
    <x v="19"/>
  </r>
  <r>
    <x v="391"/>
    <s v="2024-10-14"/>
    <x v="9"/>
    <n v="2024"/>
    <s v="CUST525"/>
    <s v="Customer_61"/>
    <x v="0"/>
    <x v="1"/>
    <x v="14"/>
    <n v="1396"/>
    <n v="3"/>
    <n v="4188"/>
    <x v="1"/>
    <x v="1"/>
    <x v="2"/>
    <x v="18"/>
  </r>
  <r>
    <x v="392"/>
    <s v="2024-04-24"/>
    <x v="1"/>
    <n v="2024"/>
    <s v="CUST602"/>
    <s v="Customer_136"/>
    <x v="0"/>
    <x v="0"/>
    <x v="3"/>
    <n v="1132"/>
    <n v="2"/>
    <n v="2264"/>
    <x v="3"/>
    <x v="2"/>
    <x v="3"/>
    <x v="19"/>
  </r>
  <r>
    <x v="393"/>
    <s v="2024-02-05"/>
    <x v="5"/>
    <n v="2024"/>
    <s v="CUST102"/>
    <s v="Customer_214"/>
    <x v="0"/>
    <x v="1"/>
    <x v="1"/>
    <n v="595"/>
    <n v="1"/>
    <n v="595"/>
    <x v="3"/>
    <x v="0"/>
    <x v="4"/>
    <x v="9"/>
  </r>
  <r>
    <x v="394"/>
    <s v="2025-07-31"/>
    <x v="6"/>
    <n v="2025"/>
    <s v="CUST831"/>
    <s v="Customer_2"/>
    <x v="1"/>
    <x v="0"/>
    <x v="0"/>
    <n v="1231"/>
    <n v="3"/>
    <n v="3693"/>
    <x v="4"/>
    <x v="2"/>
    <x v="0"/>
    <x v="9"/>
  </r>
  <r>
    <x v="395"/>
    <s v="2024-11-16"/>
    <x v="2"/>
    <n v="2024"/>
    <s v="CUST132"/>
    <s v="Customer_266"/>
    <x v="1"/>
    <x v="1"/>
    <x v="2"/>
    <n v="1397"/>
    <n v="2"/>
    <n v="2794"/>
    <x v="2"/>
    <x v="1"/>
    <x v="2"/>
    <x v="11"/>
  </r>
  <r>
    <x v="396"/>
    <s v="2024-09-29"/>
    <x v="11"/>
    <n v="2024"/>
    <s v="CUST549"/>
    <s v="Customer_45"/>
    <x v="0"/>
    <x v="2"/>
    <x v="8"/>
    <n v="287"/>
    <n v="1"/>
    <n v="287"/>
    <x v="2"/>
    <x v="3"/>
    <x v="3"/>
    <x v="13"/>
  </r>
  <r>
    <x v="397"/>
    <s v="2024-09-14"/>
    <x v="11"/>
    <n v="2024"/>
    <s v="CUST150"/>
    <s v="Customer_178"/>
    <x v="1"/>
    <x v="0"/>
    <x v="3"/>
    <n v="530"/>
    <n v="4"/>
    <n v="2120"/>
    <x v="3"/>
    <x v="3"/>
    <x v="3"/>
    <x v="6"/>
  </r>
  <r>
    <x v="398"/>
    <s v="2025-01-24"/>
    <x v="3"/>
    <n v="2025"/>
    <s v="CUST653"/>
    <s v="Customer_197"/>
    <x v="1"/>
    <x v="1"/>
    <x v="14"/>
    <n v="879"/>
    <n v="2"/>
    <n v="1758"/>
    <x v="0"/>
    <x v="2"/>
    <x v="3"/>
    <x v="15"/>
  </r>
  <r>
    <x v="399"/>
    <s v="2024-03-01"/>
    <x v="0"/>
    <n v="2024"/>
    <s v="CUST138"/>
    <s v="Customer_169"/>
    <x v="1"/>
    <x v="1"/>
    <x v="1"/>
    <n v="1133"/>
    <n v="4"/>
    <n v="4532"/>
    <x v="2"/>
    <x v="1"/>
    <x v="5"/>
    <x v="3"/>
  </r>
  <r>
    <x v="400"/>
    <s v="2025-04-28"/>
    <x v="1"/>
    <n v="2025"/>
    <s v="CUST690"/>
    <s v="Customer_33"/>
    <x v="2"/>
    <x v="2"/>
    <x v="12"/>
    <n v="637"/>
    <n v="1"/>
    <n v="637"/>
    <x v="3"/>
    <x v="3"/>
    <x v="7"/>
    <x v="26"/>
  </r>
  <r>
    <x v="401"/>
    <s v="2024-07-05"/>
    <x v="6"/>
    <n v="2024"/>
    <s v="CUST608"/>
    <s v="Customer_8"/>
    <x v="0"/>
    <x v="0"/>
    <x v="0"/>
    <n v="589"/>
    <n v="4"/>
    <n v="2356"/>
    <x v="2"/>
    <x v="3"/>
    <x v="3"/>
    <x v="28"/>
  </r>
  <r>
    <x v="402"/>
    <s v="2024-03-02"/>
    <x v="0"/>
    <n v="2024"/>
    <s v="CUST996"/>
    <s v="Customer_292"/>
    <x v="0"/>
    <x v="1"/>
    <x v="2"/>
    <n v="749"/>
    <n v="5"/>
    <n v="3745"/>
    <x v="0"/>
    <x v="1"/>
    <x v="6"/>
    <x v="22"/>
  </r>
  <r>
    <x v="403"/>
    <s v="2024-06-26"/>
    <x v="8"/>
    <n v="2024"/>
    <s v="CUST922"/>
    <s v="Customer_194"/>
    <x v="1"/>
    <x v="0"/>
    <x v="3"/>
    <n v="278"/>
    <n v="5"/>
    <n v="1390"/>
    <x v="0"/>
    <x v="3"/>
    <x v="2"/>
    <x v="12"/>
  </r>
  <r>
    <x v="404"/>
    <s v="2024-05-24"/>
    <x v="7"/>
    <n v="2024"/>
    <s v="CUST733"/>
    <s v="Customer_297"/>
    <x v="2"/>
    <x v="2"/>
    <x v="11"/>
    <n v="745"/>
    <n v="5"/>
    <n v="3725"/>
    <x v="0"/>
    <x v="2"/>
    <x v="0"/>
    <x v="17"/>
  </r>
  <r>
    <x v="405"/>
    <s v="2024-08-27"/>
    <x v="10"/>
    <n v="2024"/>
    <s v="CUST113"/>
    <s v="Customer_248"/>
    <x v="1"/>
    <x v="0"/>
    <x v="6"/>
    <n v="1475"/>
    <n v="1"/>
    <n v="1475"/>
    <x v="0"/>
    <x v="0"/>
    <x v="2"/>
    <x v="26"/>
  </r>
  <r>
    <x v="406"/>
    <s v="2025-07-11"/>
    <x v="6"/>
    <n v="2025"/>
    <s v="CUST844"/>
    <s v="Customer_272"/>
    <x v="2"/>
    <x v="1"/>
    <x v="2"/>
    <n v="714"/>
    <n v="3"/>
    <n v="2142"/>
    <x v="1"/>
    <x v="0"/>
    <x v="4"/>
    <x v="7"/>
  </r>
  <r>
    <x v="407"/>
    <s v="2024-07-25"/>
    <x v="6"/>
    <n v="2024"/>
    <s v="CUST516"/>
    <s v="Customer_128"/>
    <x v="0"/>
    <x v="0"/>
    <x v="9"/>
    <n v="1130"/>
    <n v="5"/>
    <n v="5650"/>
    <x v="4"/>
    <x v="0"/>
    <x v="1"/>
    <x v="19"/>
  </r>
  <r>
    <x v="408"/>
    <s v="2025-05-21"/>
    <x v="7"/>
    <n v="2025"/>
    <s v="CUST502"/>
    <s v="Customer_163"/>
    <x v="1"/>
    <x v="1"/>
    <x v="14"/>
    <n v="1236"/>
    <n v="2"/>
    <n v="2472"/>
    <x v="3"/>
    <x v="3"/>
    <x v="2"/>
    <x v="26"/>
  </r>
  <r>
    <x v="409"/>
    <s v="2024-05-03"/>
    <x v="7"/>
    <n v="2024"/>
    <s v="CUST563"/>
    <s v="Customer_107"/>
    <x v="0"/>
    <x v="2"/>
    <x v="12"/>
    <n v="1225"/>
    <n v="1"/>
    <n v="1225"/>
    <x v="4"/>
    <x v="1"/>
    <x v="7"/>
    <x v="21"/>
  </r>
  <r>
    <x v="410"/>
    <s v="2024-06-02"/>
    <x v="8"/>
    <n v="2024"/>
    <s v="CUST766"/>
    <s v="Customer_36"/>
    <x v="0"/>
    <x v="0"/>
    <x v="9"/>
    <n v="252"/>
    <n v="4"/>
    <n v="1008"/>
    <x v="0"/>
    <x v="3"/>
    <x v="3"/>
    <x v="22"/>
  </r>
  <r>
    <x v="411"/>
    <s v="2025-02-28"/>
    <x v="5"/>
    <n v="2025"/>
    <s v="CUST636"/>
    <s v="Customer_36"/>
    <x v="0"/>
    <x v="1"/>
    <x v="1"/>
    <n v="953"/>
    <n v="4"/>
    <n v="3812"/>
    <x v="3"/>
    <x v="3"/>
    <x v="3"/>
    <x v="2"/>
  </r>
  <r>
    <x v="412"/>
    <s v="2024-02-17"/>
    <x v="5"/>
    <n v="2024"/>
    <s v="CUST269"/>
    <s v="Customer_230"/>
    <x v="1"/>
    <x v="2"/>
    <x v="8"/>
    <n v="1008"/>
    <n v="2"/>
    <n v="2016"/>
    <x v="0"/>
    <x v="1"/>
    <x v="0"/>
    <x v="9"/>
  </r>
  <r>
    <x v="413"/>
    <s v="2024-07-11"/>
    <x v="6"/>
    <n v="2024"/>
    <s v="CUST261"/>
    <s v="Customer_273"/>
    <x v="0"/>
    <x v="0"/>
    <x v="6"/>
    <n v="817"/>
    <n v="4"/>
    <n v="3268"/>
    <x v="4"/>
    <x v="1"/>
    <x v="0"/>
    <x v="18"/>
  </r>
  <r>
    <x v="414"/>
    <s v="2024-06-25"/>
    <x v="8"/>
    <n v="2024"/>
    <s v="CUST655"/>
    <s v="Customer_110"/>
    <x v="2"/>
    <x v="2"/>
    <x v="8"/>
    <n v="897"/>
    <n v="1"/>
    <n v="897"/>
    <x v="3"/>
    <x v="2"/>
    <x v="6"/>
    <x v="28"/>
  </r>
  <r>
    <x v="415"/>
    <s v="2025-05-29"/>
    <x v="7"/>
    <n v="2025"/>
    <s v="CUST630"/>
    <s v="Customer_216"/>
    <x v="2"/>
    <x v="1"/>
    <x v="1"/>
    <n v="1386"/>
    <n v="3"/>
    <n v="4158"/>
    <x v="2"/>
    <x v="2"/>
    <x v="3"/>
    <x v="25"/>
  </r>
  <r>
    <x v="416"/>
    <s v="2024-11-08"/>
    <x v="2"/>
    <n v="2024"/>
    <s v="CUST931"/>
    <s v="Customer_67"/>
    <x v="2"/>
    <x v="0"/>
    <x v="10"/>
    <n v="856"/>
    <n v="2"/>
    <n v="1712"/>
    <x v="1"/>
    <x v="0"/>
    <x v="5"/>
    <x v="18"/>
  </r>
  <r>
    <x v="417"/>
    <s v="2024-06-19"/>
    <x v="8"/>
    <n v="2024"/>
    <s v="CUST958"/>
    <s v="Customer_167"/>
    <x v="0"/>
    <x v="2"/>
    <x v="8"/>
    <n v="908"/>
    <n v="3"/>
    <n v="2724"/>
    <x v="1"/>
    <x v="1"/>
    <x v="5"/>
    <x v="13"/>
  </r>
  <r>
    <x v="418"/>
    <s v="2024-04-02"/>
    <x v="1"/>
    <n v="2024"/>
    <s v="CUST872"/>
    <s v="Customer_170"/>
    <x v="0"/>
    <x v="1"/>
    <x v="1"/>
    <n v="731"/>
    <n v="4"/>
    <n v="2924"/>
    <x v="2"/>
    <x v="0"/>
    <x v="4"/>
    <x v="29"/>
  </r>
  <r>
    <x v="419"/>
    <s v="2024-01-19"/>
    <x v="3"/>
    <n v="2024"/>
    <s v="CUST198"/>
    <s v="Customer_49"/>
    <x v="1"/>
    <x v="1"/>
    <x v="1"/>
    <n v="1404"/>
    <n v="5"/>
    <n v="7020"/>
    <x v="2"/>
    <x v="2"/>
    <x v="2"/>
    <x v="29"/>
  </r>
  <r>
    <x v="420"/>
    <s v="2024-03-18"/>
    <x v="0"/>
    <n v="2024"/>
    <s v="CUST936"/>
    <s v="Customer_174"/>
    <x v="2"/>
    <x v="0"/>
    <x v="9"/>
    <n v="994"/>
    <n v="3"/>
    <n v="2982"/>
    <x v="3"/>
    <x v="1"/>
    <x v="7"/>
    <x v="0"/>
  </r>
  <r>
    <x v="421"/>
    <s v="2024-08-15"/>
    <x v="10"/>
    <n v="2024"/>
    <s v="CUST766"/>
    <s v="Customer_221"/>
    <x v="1"/>
    <x v="1"/>
    <x v="1"/>
    <n v="1172"/>
    <n v="1"/>
    <n v="1172"/>
    <x v="0"/>
    <x v="3"/>
    <x v="1"/>
    <x v="8"/>
  </r>
  <r>
    <x v="422"/>
    <s v="2024-07-28"/>
    <x v="6"/>
    <n v="2024"/>
    <s v="CUST534"/>
    <s v="Customer_169"/>
    <x v="0"/>
    <x v="1"/>
    <x v="1"/>
    <n v="1456"/>
    <n v="2"/>
    <n v="2912"/>
    <x v="2"/>
    <x v="2"/>
    <x v="5"/>
    <x v="22"/>
  </r>
  <r>
    <x v="423"/>
    <s v="2024-04-07"/>
    <x v="1"/>
    <n v="2024"/>
    <s v="CUST802"/>
    <s v="Customer_205"/>
    <x v="0"/>
    <x v="1"/>
    <x v="13"/>
    <n v="1372"/>
    <n v="3"/>
    <n v="4116"/>
    <x v="0"/>
    <x v="1"/>
    <x v="3"/>
    <x v="23"/>
  </r>
  <r>
    <x v="424"/>
    <s v="2025-02-08"/>
    <x v="5"/>
    <n v="2025"/>
    <s v="CUST591"/>
    <s v="Customer_107"/>
    <x v="1"/>
    <x v="0"/>
    <x v="3"/>
    <n v="1082"/>
    <n v="2"/>
    <n v="2164"/>
    <x v="2"/>
    <x v="0"/>
    <x v="5"/>
    <x v="11"/>
  </r>
  <r>
    <x v="425"/>
    <s v="2024-11-04"/>
    <x v="2"/>
    <n v="2024"/>
    <s v="CUST840"/>
    <s v="Customer_119"/>
    <x v="2"/>
    <x v="0"/>
    <x v="0"/>
    <n v="761"/>
    <n v="4"/>
    <n v="3044"/>
    <x v="3"/>
    <x v="3"/>
    <x v="3"/>
    <x v="4"/>
  </r>
  <r>
    <x v="426"/>
    <s v="2025-01-05"/>
    <x v="3"/>
    <n v="2025"/>
    <s v="CUST865"/>
    <s v="Customer_8"/>
    <x v="0"/>
    <x v="0"/>
    <x v="9"/>
    <n v="225"/>
    <n v="4"/>
    <n v="900"/>
    <x v="1"/>
    <x v="0"/>
    <x v="6"/>
    <x v="20"/>
  </r>
  <r>
    <x v="427"/>
    <s v="2025-05-16"/>
    <x v="7"/>
    <n v="2025"/>
    <s v="CUST755"/>
    <s v="Customer_214"/>
    <x v="0"/>
    <x v="1"/>
    <x v="4"/>
    <n v="531"/>
    <n v="5"/>
    <n v="2655"/>
    <x v="0"/>
    <x v="2"/>
    <x v="4"/>
    <x v="13"/>
  </r>
  <r>
    <x v="428"/>
    <s v="2024-04-25"/>
    <x v="1"/>
    <n v="2024"/>
    <s v="CUST976"/>
    <s v="Customer_8"/>
    <x v="2"/>
    <x v="0"/>
    <x v="3"/>
    <n v="1310"/>
    <n v="1"/>
    <n v="1310"/>
    <x v="3"/>
    <x v="1"/>
    <x v="1"/>
    <x v="1"/>
  </r>
  <r>
    <x v="429"/>
    <s v="2025-03-18"/>
    <x v="0"/>
    <n v="2025"/>
    <s v="CUST962"/>
    <s v="Customer_207"/>
    <x v="1"/>
    <x v="0"/>
    <x v="3"/>
    <n v="479"/>
    <n v="5"/>
    <n v="2395"/>
    <x v="1"/>
    <x v="0"/>
    <x v="6"/>
    <x v="21"/>
  </r>
  <r>
    <x v="430"/>
    <s v="2024-02-16"/>
    <x v="5"/>
    <n v="2024"/>
    <s v="CUST579"/>
    <s v="Customer_272"/>
    <x v="2"/>
    <x v="1"/>
    <x v="2"/>
    <n v="671"/>
    <n v="3"/>
    <n v="2013"/>
    <x v="1"/>
    <x v="2"/>
    <x v="3"/>
    <x v="22"/>
  </r>
  <r>
    <x v="431"/>
    <s v="2024-10-08"/>
    <x v="9"/>
    <n v="2024"/>
    <s v="CUST144"/>
    <s v="Customer_275"/>
    <x v="2"/>
    <x v="0"/>
    <x v="3"/>
    <n v="579"/>
    <n v="3"/>
    <n v="1737"/>
    <x v="0"/>
    <x v="2"/>
    <x v="6"/>
    <x v="3"/>
  </r>
  <r>
    <x v="432"/>
    <s v="2024-09-06"/>
    <x v="11"/>
    <n v="2024"/>
    <s v="CUST446"/>
    <s v="Customer_263"/>
    <x v="0"/>
    <x v="0"/>
    <x v="3"/>
    <n v="1033"/>
    <n v="2"/>
    <n v="2066"/>
    <x v="4"/>
    <x v="2"/>
    <x v="7"/>
    <x v="0"/>
  </r>
  <r>
    <x v="433"/>
    <s v="2025-06-02"/>
    <x v="8"/>
    <n v="2025"/>
    <s v="CUST785"/>
    <s v="Customer_227"/>
    <x v="0"/>
    <x v="2"/>
    <x v="12"/>
    <n v="500"/>
    <n v="4"/>
    <n v="2000"/>
    <x v="4"/>
    <x v="0"/>
    <x v="1"/>
    <x v="14"/>
  </r>
  <r>
    <x v="434"/>
    <s v="2025-08-01"/>
    <x v="10"/>
    <n v="2025"/>
    <s v="CUST785"/>
    <s v="Customer_231"/>
    <x v="0"/>
    <x v="0"/>
    <x v="3"/>
    <n v="1136"/>
    <n v="2"/>
    <n v="2272"/>
    <x v="3"/>
    <x v="0"/>
    <x v="7"/>
    <x v="14"/>
  </r>
  <r>
    <x v="435"/>
    <s v="2025-03-27"/>
    <x v="0"/>
    <n v="2025"/>
    <s v="CUST616"/>
    <s v="Customer_260"/>
    <x v="0"/>
    <x v="0"/>
    <x v="9"/>
    <n v="1211"/>
    <n v="1"/>
    <n v="1211"/>
    <x v="0"/>
    <x v="2"/>
    <x v="1"/>
    <x v="25"/>
  </r>
  <r>
    <x v="436"/>
    <s v="2024-01-19"/>
    <x v="3"/>
    <n v="2024"/>
    <s v="CUST481"/>
    <s v="Customer_262"/>
    <x v="2"/>
    <x v="1"/>
    <x v="4"/>
    <n v="237"/>
    <n v="3"/>
    <n v="711"/>
    <x v="4"/>
    <x v="2"/>
    <x v="2"/>
    <x v="11"/>
  </r>
  <r>
    <x v="437"/>
    <s v="2024-02-02"/>
    <x v="5"/>
    <n v="2024"/>
    <s v="CUST104"/>
    <s v="Customer_167"/>
    <x v="2"/>
    <x v="0"/>
    <x v="0"/>
    <n v="773"/>
    <n v="3"/>
    <n v="2319"/>
    <x v="2"/>
    <x v="3"/>
    <x v="4"/>
    <x v="30"/>
  </r>
  <r>
    <x v="438"/>
    <s v="2024-04-18"/>
    <x v="1"/>
    <n v="2024"/>
    <s v="CUST985"/>
    <s v="Customer_68"/>
    <x v="2"/>
    <x v="2"/>
    <x v="5"/>
    <n v="405"/>
    <n v="4"/>
    <n v="1620"/>
    <x v="4"/>
    <x v="1"/>
    <x v="5"/>
    <x v="11"/>
  </r>
  <r>
    <x v="439"/>
    <s v="2024-12-10"/>
    <x v="4"/>
    <n v="2024"/>
    <s v="CUST518"/>
    <s v="Customer_260"/>
    <x v="1"/>
    <x v="1"/>
    <x v="14"/>
    <n v="615"/>
    <n v="2"/>
    <n v="1230"/>
    <x v="0"/>
    <x v="0"/>
    <x v="7"/>
    <x v="10"/>
  </r>
  <r>
    <x v="440"/>
    <s v="2025-03-23"/>
    <x v="0"/>
    <n v="2025"/>
    <s v="CUST496"/>
    <s v="Customer_246"/>
    <x v="0"/>
    <x v="0"/>
    <x v="3"/>
    <n v="252"/>
    <n v="5"/>
    <n v="1260"/>
    <x v="0"/>
    <x v="2"/>
    <x v="0"/>
    <x v="21"/>
  </r>
  <r>
    <x v="441"/>
    <s v="2024-04-05"/>
    <x v="1"/>
    <n v="2024"/>
    <s v="CUST300"/>
    <s v="Customer_241"/>
    <x v="1"/>
    <x v="1"/>
    <x v="1"/>
    <n v="575"/>
    <n v="2"/>
    <n v="1150"/>
    <x v="0"/>
    <x v="3"/>
    <x v="4"/>
    <x v="6"/>
  </r>
  <r>
    <x v="442"/>
    <s v="2025-08-11"/>
    <x v="10"/>
    <n v="2025"/>
    <s v="CUST922"/>
    <s v="Customer_244"/>
    <x v="1"/>
    <x v="0"/>
    <x v="10"/>
    <n v="1439"/>
    <n v="4"/>
    <n v="5756"/>
    <x v="4"/>
    <x v="2"/>
    <x v="5"/>
    <x v="7"/>
  </r>
  <r>
    <x v="443"/>
    <s v="2024-06-08"/>
    <x v="8"/>
    <n v="2024"/>
    <s v="CUST536"/>
    <s v="Customer_37"/>
    <x v="1"/>
    <x v="2"/>
    <x v="7"/>
    <n v="874"/>
    <n v="1"/>
    <n v="874"/>
    <x v="4"/>
    <x v="0"/>
    <x v="1"/>
    <x v="22"/>
  </r>
  <r>
    <x v="444"/>
    <s v="2024-05-07"/>
    <x v="7"/>
    <n v="2024"/>
    <s v="CUST380"/>
    <s v="Customer_42"/>
    <x v="0"/>
    <x v="0"/>
    <x v="0"/>
    <n v="274"/>
    <n v="4"/>
    <n v="1096"/>
    <x v="2"/>
    <x v="3"/>
    <x v="5"/>
    <x v="30"/>
  </r>
  <r>
    <x v="445"/>
    <s v="2024-06-05"/>
    <x v="8"/>
    <n v="2024"/>
    <s v="CUST578"/>
    <s v="Customer_285"/>
    <x v="2"/>
    <x v="0"/>
    <x v="0"/>
    <n v="1043"/>
    <n v="2"/>
    <n v="2086"/>
    <x v="0"/>
    <x v="2"/>
    <x v="3"/>
    <x v="12"/>
  </r>
  <r>
    <x v="446"/>
    <s v="2025-03-03"/>
    <x v="0"/>
    <n v="2025"/>
    <s v="CUST121"/>
    <s v="Customer_287"/>
    <x v="0"/>
    <x v="0"/>
    <x v="3"/>
    <n v="1281"/>
    <n v="5"/>
    <n v="6405"/>
    <x v="4"/>
    <x v="3"/>
    <x v="4"/>
    <x v="10"/>
  </r>
  <r>
    <x v="447"/>
    <s v="2024-10-19"/>
    <x v="9"/>
    <n v="2024"/>
    <s v="CUST324"/>
    <s v="Customer_8"/>
    <x v="0"/>
    <x v="1"/>
    <x v="1"/>
    <n v="789"/>
    <n v="4"/>
    <n v="3156"/>
    <x v="3"/>
    <x v="0"/>
    <x v="2"/>
    <x v="0"/>
  </r>
  <r>
    <x v="448"/>
    <s v="2024-11-20"/>
    <x v="2"/>
    <n v="2024"/>
    <s v="CUST870"/>
    <s v="Customer_20"/>
    <x v="2"/>
    <x v="0"/>
    <x v="3"/>
    <n v="603"/>
    <n v="4"/>
    <n v="2412"/>
    <x v="2"/>
    <x v="0"/>
    <x v="1"/>
    <x v="26"/>
  </r>
  <r>
    <x v="449"/>
    <s v="2024-03-01"/>
    <x v="0"/>
    <n v="2024"/>
    <s v="CUST922"/>
    <s v="Customer_248"/>
    <x v="2"/>
    <x v="1"/>
    <x v="1"/>
    <n v="1148"/>
    <n v="5"/>
    <n v="5740"/>
    <x v="3"/>
    <x v="3"/>
    <x v="0"/>
    <x v="28"/>
  </r>
  <r>
    <x v="450"/>
    <s v="2025-03-29"/>
    <x v="0"/>
    <n v="2025"/>
    <s v="CUST963"/>
    <s v="Customer_216"/>
    <x v="0"/>
    <x v="1"/>
    <x v="14"/>
    <n v="1319"/>
    <n v="3"/>
    <n v="3957"/>
    <x v="1"/>
    <x v="3"/>
    <x v="7"/>
    <x v="19"/>
  </r>
  <r>
    <x v="451"/>
    <s v="2024-03-13"/>
    <x v="0"/>
    <n v="2024"/>
    <s v="CUST210"/>
    <s v="Customer_212"/>
    <x v="1"/>
    <x v="0"/>
    <x v="9"/>
    <n v="581"/>
    <n v="1"/>
    <n v="581"/>
    <x v="2"/>
    <x v="3"/>
    <x v="1"/>
    <x v="4"/>
  </r>
  <r>
    <x v="452"/>
    <s v="2024-02-26"/>
    <x v="5"/>
    <n v="2024"/>
    <s v="CUST914"/>
    <s v="Customer_199"/>
    <x v="2"/>
    <x v="0"/>
    <x v="9"/>
    <n v="1451"/>
    <n v="1"/>
    <n v="1451"/>
    <x v="0"/>
    <x v="1"/>
    <x v="7"/>
    <x v="21"/>
  </r>
  <r>
    <x v="453"/>
    <s v="2024-04-15"/>
    <x v="1"/>
    <n v="2024"/>
    <s v="CUST342"/>
    <s v="Customer_105"/>
    <x v="0"/>
    <x v="1"/>
    <x v="2"/>
    <n v="609"/>
    <n v="2"/>
    <n v="1218"/>
    <x v="1"/>
    <x v="1"/>
    <x v="0"/>
    <x v="7"/>
  </r>
  <r>
    <x v="454"/>
    <s v="2025-04-16"/>
    <x v="1"/>
    <n v="2025"/>
    <s v="CUST309"/>
    <s v="Customer_173"/>
    <x v="2"/>
    <x v="2"/>
    <x v="8"/>
    <n v="216"/>
    <n v="5"/>
    <n v="1080"/>
    <x v="2"/>
    <x v="2"/>
    <x v="7"/>
    <x v="19"/>
  </r>
  <r>
    <x v="455"/>
    <s v="2024-11-24"/>
    <x v="2"/>
    <n v="2024"/>
    <s v="CUST191"/>
    <s v="Customer_263"/>
    <x v="1"/>
    <x v="2"/>
    <x v="7"/>
    <n v="865"/>
    <n v="1"/>
    <n v="865"/>
    <x v="0"/>
    <x v="1"/>
    <x v="5"/>
    <x v="9"/>
  </r>
  <r>
    <x v="456"/>
    <s v="2024-02-29"/>
    <x v="5"/>
    <n v="2024"/>
    <s v="CUST753"/>
    <s v="Customer_95"/>
    <x v="0"/>
    <x v="0"/>
    <x v="3"/>
    <n v="1291"/>
    <n v="5"/>
    <n v="6455"/>
    <x v="3"/>
    <x v="1"/>
    <x v="1"/>
    <x v="3"/>
  </r>
  <r>
    <x v="457"/>
    <s v="2024-11-25"/>
    <x v="2"/>
    <n v="2024"/>
    <s v="CUST733"/>
    <s v="Customer_96"/>
    <x v="2"/>
    <x v="1"/>
    <x v="4"/>
    <n v="697"/>
    <n v="3"/>
    <n v="2091"/>
    <x v="3"/>
    <x v="1"/>
    <x v="1"/>
    <x v="13"/>
  </r>
  <r>
    <x v="458"/>
    <s v="2024-06-15"/>
    <x v="8"/>
    <n v="2024"/>
    <s v="CUST841"/>
    <s v="Customer_258"/>
    <x v="1"/>
    <x v="0"/>
    <x v="10"/>
    <n v="569"/>
    <n v="5"/>
    <n v="2845"/>
    <x v="0"/>
    <x v="0"/>
    <x v="1"/>
    <x v="22"/>
  </r>
  <r>
    <x v="459"/>
    <s v="2024-02-01"/>
    <x v="5"/>
    <n v="2024"/>
    <s v="CUST252"/>
    <s v="Customer_69"/>
    <x v="2"/>
    <x v="0"/>
    <x v="0"/>
    <n v="479"/>
    <n v="1"/>
    <n v="479"/>
    <x v="1"/>
    <x v="1"/>
    <x v="7"/>
    <x v="30"/>
  </r>
  <r>
    <x v="460"/>
    <s v="2024-12-03"/>
    <x v="4"/>
    <n v="2024"/>
    <s v="CUST705"/>
    <s v="Customer_92"/>
    <x v="2"/>
    <x v="2"/>
    <x v="5"/>
    <n v="448"/>
    <n v="1"/>
    <n v="448"/>
    <x v="3"/>
    <x v="2"/>
    <x v="0"/>
    <x v="17"/>
  </r>
  <r>
    <x v="461"/>
    <s v="2025-06-09"/>
    <x v="8"/>
    <n v="2025"/>
    <s v="CUST380"/>
    <s v="Customer_104"/>
    <x v="0"/>
    <x v="2"/>
    <x v="11"/>
    <n v="1392"/>
    <n v="3"/>
    <n v="4176"/>
    <x v="4"/>
    <x v="0"/>
    <x v="5"/>
    <x v="18"/>
  </r>
  <r>
    <x v="462"/>
    <s v="2024-08-14"/>
    <x v="10"/>
    <n v="2024"/>
    <s v="CUST384"/>
    <s v="Customer_150"/>
    <x v="2"/>
    <x v="1"/>
    <x v="1"/>
    <n v="674"/>
    <n v="1"/>
    <n v="674"/>
    <x v="0"/>
    <x v="2"/>
    <x v="3"/>
    <x v="18"/>
  </r>
  <r>
    <x v="463"/>
    <s v="2024-08-03"/>
    <x v="10"/>
    <n v="2024"/>
    <s v="CUST293"/>
    <s v="Customer_277"/>
    <x v="1"/>
    <x v="2"/>
    <x v="7"/>
    <n v="251"/>
    <n v="4"/>
    <n v="1004"/>
    <x v="4"/>
    <x v="2"/>
    <x v="0"/>
    <x v="18"/>
  </r>
  <r>
    <x v="464"/>
    <s v="2024-12-24"/>
    <x v="4"/>
    <n v="2024"/>
    <s v="CUST289"/>
    <s v="Customer_237"/>
    <x v="2"/>
    <x v="1"/>
    <x v="14"/>
    <n v="1294"/>
    <n v="4"/>
    <n v="5176"/>
    <x v="4"/>
    <x v="2"/>
    <x v="3"/>
    <x v="3"/>
  </r>
  <r>
    <x v="465"/>
    <s v="2024-10-25"/>
    <x v="9"/>
    <n v="2024"/>
    <s v="CUST574"/>
    <s v="Customer_122"/>
    <x v="1"/>
    <x v="2"/>
    <x v="5"/>
    <n v="707"/>
    <n v="3"/>
    <n v="2121"/>
    <x v="1"/>
    <x v="2"/>
    <x v="5"/>
    <x v="19"/>
  </r>
  <r>
    <x v="466"/>
    <s v="2024-11-10"/>
    <x v="2"/>
    <n v="2024"/>
    <s v="CUST898"/>
    <s v="Customer_175"/>
    <x v="1"/>
    <x v="1"/>
    <x v="2"/>
    <n v="462"/>
    <n v="2"/>
    <n v="924"/>
    <x v="1"/>
    <x v="3"/>
    <x v="4"/>
    <x v="1"/>
  </r>
  <r>
    <x v="467"/>
    <s v="2025-03-30"/>
    <x v="0"/>
    <n v="2025"/>
    <s v="CUST974"/>
    <s v="Customer_1"/>
    <x v="2"/>
    <x v="1"/>
    <x v="2"/>
    <n v="667"/>
    <n v="5"/>
    <n v="3335"/>
    <x v="3"/>
    <x v="2"/>
    <x v="4"/>
    <x v="24"/>
  </r>
  <r>
    <x v="468"/>
    <s v="2025-05-26"/>
    <x v="7"/>
    <n v="2025"/>
    <s v="CUST497"/>
    <s v="Customer_161"/>
    <x v="0"/>
    <x v="2"/>
    <x v="7"/>
    <n v="524"/>
    <n v="4"/>
    <n v="2096"/>
    <x v="3"/>
    <x v="0"/>
    <x v="4"/>
    <x v="28"/>
  </r>
  <r>
    <x v="469"/>
    <s v="2024-07-01"/>
    <x v="6"/>
    <n v="2024"/>
    <s v="CUST358"/>
    <s v="Customer_151"/>
    <x v="2"/>
    <x v="1"/>
    <x v="1"/>
    <n v="609"/>
    <n v="5"/>
    <n v="3045"/>
    <x v="3"/>
    <x v="0"/>
    <x v="4"/>
    <x v="2"/>
  </r>
  <r>
    <x v="470"/>
    <s v="2024-07-28"/>
    <x v="6"/>
    <n v="2024"/>
    <s v="CUST591"/>
    <s v="Customer_33"/>
    <x v="2"/>
    <x v="0"/>
    <x v="6"/>
    <n v="959"/>
    <n v="4"/>
    <n v="3836"/>
    <x v="4"/>
    <x v="1"/>
    <x v="6"/>
    <x v="29"/>
  </r>
  <r>
    <x v="471"/>
    <s v="2025-02-20"/>
    <x v="5"/>
    <n v="2025"/>
    <s v="CUST726"/>
    <s v="Customer_159"/>
    <x v="0"/>
    <x v="0"/>
    <x v="10"/>
    <n v="672"/>
    <n v="1"/>
    <n v="672"/>
    <x v="0"/>
    <x v="3"/>
    <x v="5"/>
    <x v="11"/>
  </r>
  <r>
    <x v="472"/>
    <s v="2025-01-30"/>
    <x v="3"/>
    <n v="2025"/>
    <s v="CUST179"/>
    <s v="Customer_49"/>
    <x v="1"/>
    <x v="2"/>
    <x v="8"/>
    <n v="1154"/>
    <n v="5"/>
    <n v="5770"/>
    <x v="3"/>
    <x v="0"/>
    <x v="5"/>
    <x v="1"/>
  </r>
  <r>
    <x v="473"/>
    <s v="2024-04-30"/>
    <x v="1"/>
    <n v="2024"/>
    <s v="CUST922"/>
    <s v="Customer_238"/>
    <x v="1"/>
    <x v="1"/>
    <x v="2"/>
    <n v="1288"/>
    <n v="5"/>
    <n v="6440"/>
    <x v="1"/>
    <x v="0"/>
    <x v="3"/>
    <x v="28"/>
  </r>
  <r>
    <x v="474"/>
    <s v="2024-10-22"/>
    <x v="9"/>
    <n v="2024"/>
    <s v="CUST894"/>
    <s v="Customer_216"/>
    <x v="0"/>
    <x v="0"/>
    <x v="3"/>
    <n v="1097"/>
    <n v="1"/>
    <n v="1097"/>
    <x v="2"/>
    <x v="1"/>
    <x v="3"/>
    <x v="12"/>
  </r>
  <r>
    <x v="475"/>
    <s v="2024-12-23"/>
    <x v="4"/>
    <n v="2024"/>
    <s v="CUST777"/>
    <s v="Customer_46"/>
    <x v="1"/>
    <x v="2"/>
    <x v="5"/>
    <n v="360"/>
    <n v="2"/>
    <n v="720"/>
    <x v="2"/>
    <x v="2"/>
    <x v="3"/>
    <x v="5"/>
  </r>
  <r>
    <x v="476"/>
    <s v="2025-05-24"/>
    <x v="7"/>
    <n v="2025"/>
    <s v="CUST801"/>
    <s v="Customer_250"/>
    <x v="1"/>
    <x v="1"/>
    <x v="14"/>
    <n v="254"/>
    <n v="2"/>
    <n v="508"/>
    <x v="3"/>
    <x v="0"/>
    <x v="5"/>
    <x v="19"/>
  </r>
  <r>
    <x v="477"/>
    <s v="2025-06-28"/>
    <x v="8"/>
    <n v="2025"/>
    <s v="CUST385"/>
    <s v="Customer_61"/>
    <x v="2"/>
    <x v="0"/>
    <x v="9"/>
    <n v="257"/>
    <n v="3"/>
    <n v="771"/>
    <x v="3"/>
    <x v="2"/>
    <x v="5"/>
    <x v="26"/>
  </r>
  <r>
    <x v="478"/>
    <s v="2024-10-15"/>
    <x v="9"/>
    <n v="2024"/>
    <s v="CUST492"/>
    <s v="Customer_296"/>
    <x v="1"/>
    <x v="0"/>
    <x v="0"/>
    <n v="230"/>
    <n v="2"/>
    <n v="460"/>
    <x v="2"/>
    <x v="3"/>
    <x v="0"/>
    <x v="10"/>
  </r>
  <r>
    <x v="479"/>
    <s v="2025-03-31"/>
    <x v="0"/>
    <n v="2025"/>
    <s v="CUST335"/>
    <s v="Customer_160"/>
    <x v="2"/>
    <x v="1"/>
    <x v="14"/>
    <n v="352"/>
    <n v="5"/>
    <n v="1760"/>
    <x v="1"/>
    <x v="0"/>
    <x v="7"/>
    <x v="8"/>
  </r>
  <r>
    <x v="480"/>
    <s v="2025-08-25"/>
    <x v="10"/>
    <n v="2025"/>
    <s v="CUST523"/>
    <s v="Customer_128"/>
    <x v="0"/>
    <x v="1"/>
    <x v="13"/>
    <n v="1467"/>
    <n v="4"/>
    <n v="5868"/>
    <x v="3"/>
    <x v="0"/>
    <x v="3"/>
    <x v="6"/>
  </r>
  <r>
    <x v="481"/>
    <s v="2025-04-12"/>
    <x v="1"/>
    <n v="2025"/>
    <s v="CUST398"/>
    <s v="Customer_277"/>
    <x v="2"/>
    <x v="1"/>
    <x v="13"/>
    <n v="1463"/>
    <n v="5"/>
    <n v="7315"/>
    <x v="2"/>
    <x v="1"/>
    <x v="6"/>
    <x v="12"/>
  </r>
  <r>
    <x v="482"/>
    <s v="2024-02-07"/>
    <x v="5"/>
    <n v="2024"/>
    <s v="CUST222"/>
    <s v="Customer_285"/>
    <x v="1"/>
    <x v="0"/>
    <x v="6"/>
    <n v="860"/>
    <n v="1"/>
    <n v="860"/>
    <x v="1"/>
    <x v="2"/>
    <x v="5"/>
    <x v="11"/>
  </r>
  <r>
    <x v="483"/>
    <s v="2024-01-11"/>
    <x v="3"/>
    <n v="2024"/>
    <s v="CUST211"/>
    <s v="Customer_252"/>
    <x v="0"/>
    <x v="0"/>
    <x v="10"/>
    <n v="253"/>
    <n v="5"/>
    <n v="1265"/>
    <x v="0"/>
    <x v="2"/>
    <x v="4"/>
    <x v="0"/>
  </r>
  <r>
    <x v="484"/>
    <s v="2025-07-23"/>
    <x v="6"/>
    <n v="2025"/>
    <s v="CUST114"/>
    <s v="Customer_1"/>
    <x v="0"/>
    <x v="0"/>
    <x v="6"/>
    <n v="915"/>
    <n v="1"/>
    <n v="915"/>
    <x v="3"/>
    <x v="1"/>
    <x v="0"/>
    <x v="0"/>
  </r>
  <r>
    <x v="485"/>
    <s v="2024-08-19"/>
    <x v="10"/>
    <n v="2024"/>
    <s v="CUST171"/>
    <s v="Customer_156"/>
    <x v="2"/>
    <x v="0"/>
    <x v="6"/>
    <n v="633"/>
    <n v="3"/>
    <n v="1899"/>
    <x v="2"/>
    <x v="0"/>
    <x v="2"/>
    <x v="7"/>
  </r>
  <r>
    <x v="486"/>
    <s v="2025-01-11"/>
    <x v="3"/>
    <n v="2025"/>
    <s v="CUST814"/>
    <s v="Customer_104"/>
    <x v="0"/>
    <x v="2"/>
    <x v="12"/>
    <n v="1034"/>
    <n v="4"/>
    <n v="4136"/>
    <x v="0"/>
    <x v="3"/>
    <x v="6"/>
    <x v="26"/>
  </r>
  <r>
    <x v="487"/>
    <s v="2024-12-23"/>
    <x v="4"/>
    <n v="2024"/>
    <s v="CUST623"/>
    <s v="Customer_173"/>
    <x v="1"/>
    <x v="1"/>
    <x v="4"/>
    <n v="887"/>
    <n v="3"/>
    <n v="2661"/>
    <x v="1"/>
    <x v="1"/>
    <x v="3"/>
    <x v="18"/>
  </r>
  <r>
    <x v="488"/>
    <s v="2025-04-02"/>
    <x v="1"/>
    <n v="2025"/>
    <s v="CUST870"/>
    <s v="Customer_136"/>
    <x v="1"/>
    <x v="2"/>
    <x v="5"/>
    <n v="1081"/>
    <n v="3"/>
    <n v="3243"/>
    <x v="1"/>
    <x v="0"/>
    <x v="1"/>
    <x v="1"/>
  </r>
  <r>
    <x v="489"/>
    <s v="2025-05-18"/>
    <x v="7"/>
    <n v="2025"/>
    <s v="CUST656"/>
    <s v="Customer_217"/>
    <x v="0"/>
    <x v="2"/>
    <x v="11"/>
    <n v="765"/>
    <n v="2"/>
    <n v="1530"/>
    <x v="0"/>
    <x v="0"/>
    <x v="5"/>
    <x v="6"/>
  </r>
  <r>
    <x v="490"/>
    <s v="2025-08-22"/>
    <x v="10"/>
    <n v="2025"/>
    <s v="CUST385"/>
    <s v="Customer_175"/>
    <x v="1"/>
    <x v="2"/>
    <x v="7"/>
    <n v="212"/>
    <n v="4"/>
    <n v="848"/>
    <x v="4"/>
    <x v="2"/>
    <x v="2"/>
    <x v="14"/>
  </r>
  <r>
    <x v="491"/>
    <s v="2024-05-08"/>
    <x v="7"/>
    <n v="2024"/>
    <s v="CUST204"/>
    <s v="Customer_274"/>
    <x v="2"/>
    <x v="1"/>
    <x v="13"/>
    <n v="657"/>
    <n v="1"/>
    <n v="657"/>
    <x v="1"/>
    <x v="0"/>
    <x v="3"/>
    <x v="12"/>
  </r>
  <r>
    <x v="492"/>
    <s v="2025-04-10"/>
    <x v="1"/>
    <n v="2025"/>
    <s v="CUST325"/>
    <s v="Customer_113"/>
    <x v="0"/>
    <x v="1"/>
    <x v="4"/>
    <n v="1395"/>
    <n v="4"/>
    <n v="5580"/>
    <x v="0"/>
    <x v="0"/>
    <x v="4"/>
    <x v="10"/>
  </r>
  <r>
    <x v="493"/>
    <s v="2025-07-24"/>
    <x v="6"/>
    <n v="2025"/>
    <s v="CUST110"/>
    <s v="Customer_49"/>
    <x v="1"/>
    <x v="1"/>
    <x v="13"/>
    <n v="726"/>
    <n v="2"/>
    <n v="1452"/>
    <x v="3"/>
    <x v="2"/>
    <x v="4"/>
    <x v="26"/>
  </r>
  <r>
    <x v="494"/>
    <s v="2025-06-05"/>
    <x v="8"/>
    <n v="2025"/>
    <s v="CUST125"/>
    <s v="Customer_264"/>
    <x v="0"/>
    <x v="0"/>
    <x v="10"/>
    <n v="603"/>
    <n v="4"/>
    <n v="2412"/>
    <x v="1"/>
    <x v="3"/>
    <x v="0"/>
    <x v="0"/>
  </r>
  <r>
    <x v="495"/>
    <s v="2024-12-09"/>
    <x v="4"/>
    <n v="2024"/>
    <s v="CUST475"/>
    <s v="Customer_70"/>
    <x v="1"/>
    <x v="1"/>
    <x v="14"/>
    <n v="373"/>
    <n v="5"/>
    <n v="1865"/>
    <x v="2"/>
    <x v="3"/>
    <x v="4"/>
    <x v="8"/>
  </r>
  <r>
    <x v="496"/>
    <s v="2025-05-08"/>
    <x v="7"/>
    <n v="2025"/>
    <s v="CUST300"/>
    <s v="Customer_40"/>
    <x v="2"/>
    <x v="1"/>
    <x v="14"/>
    <n v="628"/>
    <n v="2"/>
    <n v="1256"/>
    <x v="0"/>
    <x v="2"/>
    <x v="5"/>
    <x v="21"/>
  </r>
  <r>
    <x v="497"/>
    <s v="2025-07-13"/>
    <x v="6"/>
    <n v="2025"/>
    <s v="CUST426"/>
    <s v="Customer_237"/>
    <x v="1"/>
    <x v="1"/>
    <x v="4"/>
    <n v="478"/>
    <n v="4"/>
    <n v="1912"/>
    <x v="4"/>
    <x v="1"/>
    <x v="4"/>
    <x v="14"/>
  </r>
  <r>
    <x v="498"/>
    <s v="2024-09-20"/>
    <x v="11"/>
    <n v="2024"/>
    <s v="CUST191"/>
    <s v="Customer_131"/>
    <x v="0"/>
    <x v="2"/>
    <x v="8"/>
    <n v="560"/>
    <n v="1"/>
    <n v="560"/>
    <x v="3"/>
    <x v="1"/>
    <x v="5"/>
    <x v="18"/>
  </r>
  <r>
    <x v="499"/>
    <s v="2024-01-12"/>
    <x v="3"/>
    <n v="2024"/>
    <s v="CUST702"/>
    <s v="Customer_97"/>
    <x v="0"/>
    <x v="0"/>
    <x v="0"/>
    <n v="423"/>
    <n v="2"/>
    <n v="846"/>
    <x v="3"/>
    <x v="3"/>
    <x v="3"/>
    <x v="17"/>
  </r>
  <r>
    <x v="500"/>
    <s v="2025-05-18"/>
    <x v="7"/>
    <n v="2025"/>
    <s v="CUST755"/>
    <s v="Customer_131"/>
    <x v="0"/>
    <x v="2"/>
    <x v="5"/>
    <n v="1339"/>
    <n v="5"/>
    <n v="6695"/>
    <x v="3"/>
    <x v="1"/>
    <x v="5"/>
    <x v="22"/>
  </r>
  <r>
    <x v="501"/>
    <s v="2025-01-02"/>
    <x v="3"/>
    <n v="2025"/>
    <s v="CUST151"/>
    <s v="Customer_243"/>
    <x v="2"/>
    <x v="0"/>
    <x v="3"/>
    <n v="317"/>
    <n v="2"/>
    <n v="634"/>
    <x v="3"/>
    <x v="2"/>
    <x v="6"/>
    <x v="20"/>
  </r>
  <r>
    <x v="502"/>
    <s v="2024-02-05"/>
    <x v="5"/>
    <n v="2024"/>
    <s v="CUST191"/>
    <s v="Customer_13"/>
    <x v="2"/>
    <x v="1"/>
    <x v="14"/>
    <n v="421"/>
    <n v="2"/>
    <n v="842"/>
    <x v="2"/>
    <x v="3"/>
    <x v="6"/>
    <x v="10"/>
  </r>
  <r>
    <x v="503"/>
    <s v="2024-09-26"/>
    <x v="11"/>
    <n v="2024"/>
    <s v="CUST485"/>
    <s v="Customer_197"/>
    <x v="1"/>
    <x v="0"/>
    <x v="3"/>
    <n v="1135"/>
    <n v="3"/>
    <n v="3405"/>
    <x v="4"/>
    <x v="2"/>
    <x v="4"/>
    <x v="10"/>
  </r>
  <r>
    <x v="504"/>
    <s v="2024-08-09"/>
    <x v="10"/>
    <n v="2024"/>
    <s v="CUST743"/>
    <s v="Customer_69"/>
    <x v="1"/>
    <x v="1"/>
    <x v="2"/>
    <n v="1360"/>
    <n v="4"/>
    <n v="5440"/>
    <x v="1"/>
    <x v="1"/>
    <x v="7"/>
    <x v="1"/>
  </r>
  <r>
    <x v="505"/>
    <s v="2024-12-29"/>
    <x v="4"/>
    <n v="2024"/>
    <s v="CUST677"/>
    <s v="Customer_34"/>
    <x v="0"/>
    <x v="0"/>
    <x v="6"/>
    <n v="1391"/>
    <n v="3"/>
    <n v="4173"/>
    <x v="2"/>
    <x v="3"/>
    <x v="6"/>
    <x v="19"/>
  </r>
  <r>
    <x v="506"/>
    <s v="2025-07-04"/>
    <x v="6"/>
    <n v="2025"/>
    <s v="CUST701"/>
    <s v="Customer_45"/>
    <x v="1"/>
    <x v="2"/>
    <x v="5"/>
    <n v="313"/>
    <n v="5"/>
    <n v="1565"/>
    <x v="0"/>
    <x v="0"/>
    <x v="7"/>
    <x v="13"/>
  </r>
  <r>
    <x v="507"/>
    <s v="2025-03-19"/>
    <x v="0"/>
    <n v="2025"/>
    <s v="CUST652"/>
    <s v="Customer_83"/>
    <x v="0"/>
    <x v="2"/>
    <x v="5"/>
    <n v="779"/>
    <n v="5"/>
    <n v="3895"/>
    <x v="1"/>
    <x v="1"/>
    <x v="2"/>
    <x v="11"/>
  </r>
  <r>
    <x v="508"/>
    <s v="2025-05-20"/>
    <x v="7"/>
    <n v="2025"/>
    <s v="CUST744"/>
    <s v="Customer_199"/>
    <x v="2"/>
    <x v="1"/>
    <x v="4"/>
    <n v="423"/>
    <n v="1"/>
    <n v="423"/>
    <x v="1"/>
    <x v="1"/>
    <x v="6"/>
    <x v="4"/>
  </r>
  <r>
    <x v="509"/>
    <s v="2025-06-20"/>
    <x v="8"/>
    <n v="2025"/>
    <s v="CUST624"/>
    <s v="Customer_27"/>
    <x v="1"/>
    <x v="2"/>
    <x v="8"/>
    <n v="600"/>
    <n v="2"/>
    <n v="1200"/>
    <x v="0"/>
    <x v="3"/>
    <x v="6"/>
    <x v="1"/>
  </r>
  <r>
    <x v="510"/>
    <s v="2025-08-06"/>
    <x v="10"/>
    <n v="2025"/>
    <s v="CUST825"/>
    <s v="Customer_245"/>
    <x v="2"/>
    <x v="1"/>
    <x v="1"/>
    <n v="655"/>
    <n v="1"/>
    <n v="655"/>
    <x v="3"/>
    <x v="2"/>
    <x v="1"/>
    <x v="10"/>
  </r>
  <r>
    <x v="511"/>
    <s v="2025-08-17"/>
    <x v="10"/>
    <n v="2025"/>
    <s v="CUST380"/>
    <s v="Customer_102"/>
    <x v="2"/>
    <x v="0"/>
    <x v="9"/>
    <n v="1398"/>
    <n v="1"/>
    <n v="1398"/>
    <x v="1"/>
    <x v="0"/>
    <x v="1"/>
    <x v="1"/>
  </r>
  <r>
    <x v="512"/>
    <s v="2025-08-21"/>
    <x v="10"/>
    <n v="2025"/>
    <s v="CUST120"/>
    <s v="Customer_15"/>
    <x v="1"/>
    <x v="0"/>
    <x v="3"/>
    <n v="291"/>
    <n v="3"/>
    <n v="873"/>
    <x v="1"/>
    <x v="1"/>
    <x v="3"/>
    <x v="20"/>
  </r>
  <r>
    <x v="513"/>
    <s v="2025-04-03"/>
    <x v="1"/>
    <n v="2025"/>
    <s v="CUST241"/>
    <s v="Customer_64"/>
    <x v="2"/>
    <x v="1"/>
    <x v="14"/>
    <n v="951"/>
    <n v="3"/>
    <n v="2853"/>
    <x v="2"/>
    <x v="0"/>
    <x v="0"/>
    <x v="19"/>
  </r>
  <r>
    <x v="514"/>
    <s v="2025-01-17"/>
    <x v="3"/>
    <n v="2025"/>
    <s v="CUST140"/>
    <s v="Customer_88"/>
    <x v="1"/>
    <x v="2"/>
    <x v="5"/>
    <n v="507"/>
    <n v="4"/>
    <n v="2028"/>
    <x v="2"/>
    <x v="3"/>
    <x v="7"/>
    <x v="10"/>
  </r>
  <r>
    <x v="515"/>
    <s v="2024-07-29"/>
    <x v="6"/>
    <n v="2024"/>
    <s v="CUST613"/>
    <s v="Customer_36"/>
    <x v="2"/>
    <x v="2"/>
    <x v="5"/>
    <n v="303"/>
    <n v="5"/>
    <n v="1515"/>
    <x v="2"/>
    <x v="2"/>
    <x v="4"/>
    <x v="22"/>
  </r>
  <r>
    <x v="516"/>
    <s v="2024-05-25"/>
    <x v="7"/>
    <n v="2024"/>
    <s v="CUST706"/>
    <s v="Customer_17"/>
    <x v="1"/>
    <x v="1"/>
    <x v="1"/>
    <n v="776"/>
    <n v="4"/>
    <n v="3104"/>
    <x v="1"/>
    <x v="1"/>
    <x v="7"/>
    <x v="25"/>
  </r>
  <r>
    <x v="517"/>
    <s v="2025-06-28"/>
    <x v="8"/>
    <n v="2025"/>
    <s v="CUST490"/>
    <s v="Customer_143"/>
    <x v="1"/>
    <x v="2"/>
    <x v="11"/>
    <n v="374"/>
    <n v="1"/>
    <n v="374"/>
    <x v="2"/>
    <x v="2"/>
    <x v="5"/>
    <x v="27"/>
  </r>
  <r>
    <x v="518"/>
    <s v="2025-04-30"/>
    <x v="1"/>
    <n v="2025"/>
    <s v="CUST894"/>
    <s v="Customer_29"/>
    <x v="1"/>
    <x v="1"/>
    <x v="2"/>
    <n v="1233"/>
    <n v="5"/>
    <n v="6165"/>
    <x v="1"/>
    <x v="2"/>
    <x v="7"/>
    <x v="4"/>
  </r>
  <r>
    <x v="519"/>
    <s v="2024-02-14"/>
    <x v="5"/>
    <n v="2024"/>
    <s v="CUST740"/>
    <s v="Customer_208"/>
    <x v="0"/>
    <x v="2"/>
    <x v="11"/>
    <n v="796"/>
    <n v="3"/>
    <n v="2388"/>
    <x v="4"/>
    <x v="3"/>
    <x v="2"/>
    <x v="29"/>
  </r>
  <r>
    <x v="520"/>
    <s v="2025-05-12"/>
    <x v="7"/>
    <n v="2025"/>
    <s v="CUST846"/>
    <s v="Customer_3"/>
    <x v="2"/>
    <x v="2"/>
    <x v="11"/>
    <n v="300"/>
    <n v="4"/>
    <n v="1200"/>
    <x v="2"/>
    <x v="1"/>
    <x v="3"/>
    <x v="0"/>
  </r>
  <r>
    <x v="521"/>
    <s v="2024-08-30"/>
    <x v="10"/>
    <n v="2024"/>
    <s v="CUST281"/>
    <s v="Customer_32"/>
    <x v="2"/>
    <x v="1"/>
    <x v="2"/>
    <n v="819"/>
    <n v="5"/>
    <n v="4095"/>
    <x v="4"/>
    <x v="3"/>
    <x v="4"/>
    <x v="25"/>
  </r>
  <r>
    <x v="522"/>
    <s v="2025-04-30"/>
    <x v="1"/>
    <n v="2025"/>
    <s v="CUST831"/>
    <s v="Customer_6"/>
    <x v="2"/>
    <x v="1"/>
    <x v="1"/>
    <n v="656"/>
    <n v="4"/>
    <n v="2624"/>
    <x v="3"/>
    <x v="2"/>
    <x v="7"/>
    <x v="25"/>
  </r>
  <r>
    <x v="523"/>
    <s v="2025-05-27"/>
    <x v="7"/>
    <n v="2025"/>
    <s v="CUST860"/>
    <s v="Customer_220"/>
    <x v="0"/>
    <x v="0"/>
    <x v="10"/>
    <n v="223"/>
    <n v="3"/>
    <n v="669"/>
    <x v="2"/>
    <x v="3"/>
    <x v="5"/>
    <x v="12"/>
  </r>
  <r>
    <x v="524"/>
    <s v="2024-02-21"/>
    <x v="5"/>
    <n v="2024"/>
    <s v="CUST589"/>
    <s v="Customer_192"/>
    <x v="2"/>
    <x v="1"/>
    <x v="2"/>
    <n v="958"/>
    <n v="2"/>
    <n v="1916"/>
    <x v="2"/>
    <x v="2"/>
    <x v="3"/>
    <x v="30"/>
  </r>
  <r>
    <x v="525"/>
    <s v="2024-07-25"/>
    <x v="6"/>
    <n v="2024"/>
    <s v="CUST431"/>
    <s v="Customer_271"/>
    <x v="1"/>
    <x v="2"/>
    <x v="12"/>
    <n v="564"/>
    <n v="3"/>
    <n v="1692"/>
    <x v="0"/>
    <x v="2"/>
    <x v="1"/>
    <x v="18"/>
  </r>
  <r>
    <x v="526"/>
    <s v="2024-06-18"/>
    <x v="8"/>
    <n v="2024"/>
    <s v="CUST133"/>
    <s v="Customer_34"/>
    <x v="2"/>
    <x v="0"/>
    <x v="0"/>
    <n v="416"/>
    <n v="4"/>
    <n v="1664"/>
    <x v="2"/>
    <x v="3"/>
    <x v="6"/>
    <x v="12"/>
  </r>
  <r>
    <x v="527"/>
    <s v="2025-06-24"/>
    <x v="8"/>
    <n v="2025"/>
    <s v="CUST736"/>
    <s v="Customer_77"/>
    <x v="2"/>
    <x v="1"/>
    <x v="1"/>
    <n v="1090"/>
    <n v="1"/>
    <n v="1090"/>
    <x v="0"/>
    <x v="0"/>
    <x v="3"/>
    <x v="28"/>
  </r>
  <r>
    <x v="528"/>
    <s v="2024-06-12"/>
    <x v="8"/>
    <n v="2024"/>
    <s v="CUST995"/>
    <s v="Customer_58"/>
    <x v="1"/>
    <x v="0"/>
    <x v="3"/>
    <n v="553"/>
    <n v="4"/>
    <n v="2212"/>
    <x v="4"/>
    <x v="2"/>
    <x v="2"/>
    <x v="23"/>
  </r>
  <r>
    <x v="529"/>
    <s v="2024-09-29"/>
    <x v="11"/>
    <n v="2024"/>
    <s v="CUST555"/>
    <s v="Customer_20"/>
    <x v="0"/>
    <x v="2"/>
    <x v="7"/>
    <n v="996"/>
    <n v="2"/>
    <n v="1992"/>
    <x v="0"/>
    <x v="2"/>
    <x v="6"/>
    <x v="17"/>
  </r>
  <r>
    <x v="530"/>
    <s v="2025-01-28"/>
    <x v="3"/>
    <n v="2025"/>
    <s v="CUST466"/>
    <s v="Customer_254"/>
    <x v="2"/>
    <x v="0"/>
    <x v="6"/>
    <n v="1248"/>
    <n v="5"/>
    <n v="6240"/>
    <x v="0"/>
    <x v="0"/>
    <x v="1"/>
    <x v="10"/>
  </r>
  <r>
    <x v="531"/>
    <s v="2024-01-16"/>
    <x v="3"/>
    <n v="2024"/>
    <s v="CUST943"/>
    <s v="Customer_13"/>
    <x v="0"/>
    <x v="2"/>
    <x v="5"/>
    <n v="800"/>
    <n v="1"/>
    <n v="800"/>
    <x v="2"/>
    <x v="0"/>
    <x v="3"/>
    <x v="0"/>
  </r>
  <r>
    <x v="532"/>
    <s v="2024-10-23"/>
    <x v="9"/>
    <n v="2024"/>
    <s v="CUST187"/>
    <s v="Customer_133"/>
    <x v="2"/>
    <x v="0"/>
    <x v="0"/>
    <n v="658"/>
    <n v="3"/>
    <n v="1974"/>
    <x v="4"/>
    <x v="0"/>
    <x v="5"/>
    <x v="23"/>
  </r>
  <r>
    <x v="533"/>
    <s v="2025-02-17"/>
    <x v="5"/>
    <n v="2025"/>
    <s v="CUST750"/>
    <s v="Customer_106"/>
    <x v="2"/>
    <x v="1"/>
    <x v="1"/>
    <n v="681"/>
    <n v="3"/>
    <n v="2043"/>
    <x v="1"/>
    <x v="3"/>
    <x v="3"/>
    <x v="4"/>
  </r>
  <r>
    <x v="534"/>
    <s v="2025-01-17"/>
    <x v="3"/>
    <n v="2025"/>
    <s v="CUST935"/>
    <s v="Customer_39"/>
    <x v="1"/>
    <x v="0"/>
    <x v="9"/>
    <n v="341"/>
    <n v="3"/>
    <n v="1023"/>
    <x v="3"/>
    <x v="3"/>
    <x v="2"/>
    <x v="20"/>
  </r>
  <r>
    <x v="535"/>
    <s v="2024-01-16"/>
    <x v="3"/>
    <n v="2024"/>
    <s v="CUST305"/>
    <s v="Customer_115"/>
    <x v="2"/>
    <x v="2"/>
    <x v="8"/>
    <n v="856"/>
    <n v="4"/>
    <n v="3424"/>
    <x v="2"/>
    <x v="1"/>
    <x v="6"/>
    <x v="18"/>
  </r>
  <r>
    <x v="536"/>
    <s v="2025-03-17"/>
    <x v="0"/>
    <n v="2025"/>
    <s v="CUST449"/>
    <s v="Customer_111"/>
    <x v="1"/>
    <x v="1"/>
    <x v="4"/>
    <n v="1053"/>
    <n v="2"/>
    <n v="2106"/>
    <x v="4"/>
    <x v="3"/>
    <x v="5"/>
    <x v="8"/>
  </r>
  <r>
    <x v="537"/>
    <s v="2025-03-12"/>
    <x v="0"/>
    <n v="2025"/>
    <s v="CUST284"/>
    <s v="Customer_164"/>
    <x v="1"/>
    <x v="2"/>
    <x v="11"/>
    <n v="659"/>
    <n v="5"/>
    <n v="3295"/>
    <x v="0"/>
    <x v="3"/>
    <x v="6"/>
    <x v="30"/>
  </r>
  <r>
    <x v="538"/>
    <s v="2024-11-08"/>
    <x v="2"/>
    <n v="2024"/>
    <s v="CUST142"/>
    <s v="Customer_19"/>
    <x v="1"/>
    <x v="0"/>
    <x v="0"/>
    <n v="337"/>
    <n v="2"/>
    <n v="674"/>
    <x v="2"/>
    <x v="1"/>
    <x v="0"/>
    <x v="0"/>
  </r>
  <r>
    <x v="539"/>
    <s v="2024-02-09"/>
    <x v="5"/>
    <n v="2024"/>
    <s v="CUST931"/>
    <s v="Customer_81"/>
    <x v="0"/>
    <x v="1"/>
    <x v="1"/>
    <n v="699"/>
    <n v="5"/>
    <n v="3495"/>
    <x v="3"/>
    <x v="3"/>
    <x v="3"/>
    <x v="9"/>
  </r>
  <r>
    <x v="540"/>
    <s v="2024-05-04"/>
    <x v="7"/>
    <n v="2024"/>
    <s v="CUST855"/>
    <s v="Customer_174"/>
    <x v="2"/>
    <x v="1"/>
    <x v="2"/>
    <n v="1356"/>
    <n v="5"/>
    <n v="6780"/>
    <x v="0"/>
    <x v="0"/>
    <x v="1"/>
    <x v="18"/>
  </r>
  <r>
    <x v="541"/>
    <s v="2024-07-02"/>
    <x v="6"/>
    <n v="2024"/>
    <s v="CUST524"/>
    <s v="Customer_106"/>
    <x v="1"/>
    <x v="2"/>
    <x v="5"/>
    <n v="761"/>
    <n v="3"/>
    <n v="2283"/>
    <x v="3"/>
    <x v="2"/>
    <x v="6"/>
    <x v="7"/>
  </r>
  <r>
    <x v="542"/>
    <s v="2024-07-30"/>
    <x v="6"/>
    <n v="2024"/>
    <s v="CUST281"/>
    <s v="Customer_92"/>
    <x v="1"/>
    <x v="2"/>
    <x v="5"/>
    <n v="1329"/>
    <n v="1"/>
    <n v="1329"/>
    <x v="1"/>
    <x v="1"/>
    <x v="6"/>
    <x v="14"/>
  </r>
  <r>
    <x v="543"/>
    <s v="2024-07-24"/>
    <x v="6"/>
    <n v="2024"/>
    <s v="CUST457"/>
    <s v="Customer_282"/>
    <x v="0"/>
    <x v="1"/>
    <x v="2"/>
    <n v="1235"/>
    <n v="2"/>
    <n v="2470"/>
    <x v="2"/>
    <x v="2"/>
    <x v="4"/>
    <x v="26"/>
  </r>
  <r>
    <x v="544"/>
    <s v="2024-09-05"/>
    <x v="11"/>
    <n v="2024"/>
    <s v="CUST732"/>
    <s v="Customer_204"/>
    <x v="1"/>
    <x v="0"/>
    <x v="3"/>
    <n v="1274"/>
    <n v="5"/>
    <n v="6370"/>
    <x v="2"/>
    <x v="2"/>
    <x v="6"/>
    <x v="10"/>
  </r>
  <r>
    <x v="545"/>
    <s v="2024-09-04"/>
    <x v="11"/>
    <n v="2024"/>
    <s v="CUST434"/>
    <s v="Customer_89"/>
    <x v="1"/>
    <x v="2"/>
    <x v="11"/>
    <n v="315"/>
    <n v="4"/>
    <n v="1260"/>
    <x v="3"/>
    <x v="0"/>
    <x v="0"/>
    <x v="22"/>
  </r>
  <r>
    <x v="546"/>
    <s v="2024-08-19"/>
    <x v="10"/>
    <n v="2024"/>
    <s v="CUST997"/>
    <s v="Customer_270"/>
    <x v="2"/>
    <x v="1"/>
    <x v="2"/>
    <n v="993"/>
    <n v="4"/>
    <n v="3972"/>
    <x v="2"/>
    <x v="0"/>
    <x v="0"/>
    <x v="16"/>
  </r>
  <r>
    <x v="547"/>
    <s v="2024-08-01"/>
    <x v="10"/>
    <n v="2024"/>
    <s v="CUST191"/>
    <s v="Customer_89"/>
    <x v="1"/>
    <x v="2"/>
    <x v="7"/>
    <n v="669"/>
    <n v="5"/>
    <n v="3345"/>
    <x v="4"/>
    <x v="1"/>
    <x v="3"/>
    <x v="29"/>
  </r>
  <r>
    <x v="548"/>
    <s v="2025-07-22"/>
    <x v="6"/>
    <n v="2025"/>
    <s v="CUST868"/>
    <s v="Customer_46"/>
    <x v="1"/>
    <x v="2"/>
    <x v="8"/>
    <n v="648"/>
    <n v="3"/>
    <n v="1944"/>
    <x v="4"/>
    <x v="0"/>
    <x v="2"/>
    <x v="14"/>
  </r>
  <r>
    <x v="549"/>
    <s v="2025-01-05"/>
    <x v="3"/>
    <n v="2025"/>
    <s v="CUST242"/>
    <s v="Customer_155"/>
    <x v="2"/>
    <x v="1"/>
    <x v="2"/>
    <n v="1310"/>
    <n v="2"/>
    <n v="2620"/>
    <x v="4"/>
    <x v="2"/>
    <x v="2"/>
    <x v="21"/>
  </r>
  <r>
    <x v="550"/>
    <s v="2024-07-11"/>
    <x v="6"/>
    <n v="2024"/>
    <s v="CUST435"/>
    <s v="Customer_40"/>
    <x v="1"/>
    <x v="2"/>
    <x v="5"/>
    <n v="840"/>
    <n v="4"/>
    <n v="3360"/>
    <x v="1"/>
    <x v="2"/>
    <x v="5"/>
    <x v="28"/>
  </r>
  <r>
    <x v="551"/>
    <s v="2024-04-05"/>
    <x v="1"/>
    <n v="2024"/>
    <s v="CUST445"/>
    <s v="Customer_61"/>
    <x v="1"/>
    <x v="1"/>
    <x v="4"/>
    <n v="900"/>
    <n v="2"/>
    <n v="1800"/>
    <x v="3"/>
    <x v="0"/>
    <x v="0"/>
    <x v="28"/>
  </r>
  <r>
    <x v="552"/>
    <s v="2024-11-25"/>
    <x v="2"/>
    <n v="2024"/>
    <s v="CUST315"/>
    <s v="Customer_52"/>
    <x v="1"/>
    <x v="1"/>
    <x v="4"/>
    <n v="883"/>
    <n v="2"/>
    <n v="1766"/>
    <x v="1"/>
    <x v="2"/>
    <x v="5"/>
    <x v="22"/>
  </r>
  <r>
    <x v="553"/>
    <s v="2025-02-28"/>
    <x v="5"/>
    <n v="2025"/>
    <s v="CUST490"/>
    <s v="Customer_160"/>
    <x v="1"/>
    <x v="0"/>
    <x v="6"/>
    <n v="1237"/>
    <n v="5"/>
    <n v="6185"/>
    <x v="0"/>
    <x v="1"/>
    <x v="5"/>
    <x v="30"/>
  </r>
  <r>
    <x v="554"/>
    <s v="2024-11-06"/>
    <x v="2"/>
    <n v="2024"/>
    <s v="CUST359"/>
    <s v="Customer_20"/>
    <x v="2"/>
    <x v="0"/>
    <x v="3"/>
    <n v="1273"/>
    <n v="4"/>
    <n v="5092"/>
    <x v="4"/>
    <x v="0"/>
    <x v="5"/>
    <x v="24"/>
  </r>
  <r>
    <x v="555"/>
    <s v="2025-06-21"/>
    <x v="8"/>
    <n v="2025"/>
    <s v="CUST627"/>
    <s v="Customer_245"/>
    <x v="2"/>
    <x v="0"/>
    <x v="10"/>
    <n v="947"/>
    <n v="2"/>
    <n v="1894"/>
    <x v="1"/>
    <x v="1"/>
    <x v="3"/>
    <x v="24"/>
  </r>
  <r>
    <x v="556"/>
    <s v="2024-10-04"/>
    <x v="9"/>
    <n v="2024"/>
    <s v="CUST451"/>
    <s v="Customer_236"/>
    <x v="2"/>
    <x v="0"/>
    <x v="6"/>
    <n v="565"/>
    <n v="3"/>
    <n v="1695"/>
    <x v="2"/>
    <x v="3"/>
    <x v="6"/>
    <x v="19"/>
  </r>
  <r>
    <x v="557"/>
    <s v="2025-08-14"/>
    <x v="10"/>
    <n v="2025"/>
    <s v="CUST115"/>
    <s v="Customer_56"/>
    <x v="1"/>
    <x v="1"/>
    <x v="14"/>
    <n v="231"/>
    <n v="1"/>
    <n v="231"/>
    <x v="2"/>
    <x v="0"/>
    <x v="7"/>
    <x v="6"/>
  </r>
  <r>
    <x v="558"/>
    <s v="2024-03-23"/>
    <x v="0"/>
    <n v="2024"/>
    <s v="CUST774"/>
    <s v="Customer_145"/>
    <x v="2"/>
    <x v="2"/>
    <x v="11"/>
    <n v="597"/>
    <n v="3"/>
    <n v="1791"/>
    <x v="1"/>
    <x v="2"/>
    <x v="0"/>
    <x v="2"/>
  </r>
  <r>
    <x v="559"/>
    <s v="2025-03-08"/>
    <x v="0"/>
    <n v="2025"/>
    <s v="CUST493"/>
    <s v="Customer_173"/>
    <x v="0"/>
    <x v="2"/>
    <x v="11"/>
    <n v="246"/>
    <n v="1"/>
    <n v="246"/>
    <x v="4"/>
    <x v="3"/>
    <x v="2"/>
    <x v="26"/>
  </r>
  <r>
    <x v="560"/>
    <s v="2025-06-09"/>
    <x v="8"/>
    <n v="2025"/>
    <s v="CUST670"/>
    <s v="Customer_278"/>
    <x v="2"/>
    <x v="2"/>
    <x v="11"/>
    <n v="769"/>
    <n v="4"/>
    <n v="3076"/>
    <x v="1"/>
    <x v="3"/>
    <x v="5"/>
    <x v="7"/>
  </r>
  <r>
    <x v="561"/>
    <s v="2024-03-31"/>
    <x v="0"/>
    <n v="2024"/>
    <s v="CUST180"/>
    <s v="Customer_84"/>
    <x v="1"/>
    <x v="2"/>
    <x v="8"/>
    <n v="363"/>
    <n v="1"/>
    <n v="363"/>
    <x v="2"/>
    <x v="3"/>
    <x v="0"/>
    <x v="7"/>
  </r>
  <r>
    <x v="562"/>
    <s v="2025-02-25"/>
    <x v="5"/>
    <n v="2025"/>
    <s v="CUST158"/>
    <s v="Customer_187"/>
    <x v="1"/>
    <x v="1"/>
    <x v="13"/>
    <n v="1195"/>
    <n v="4"/>
    <n v="4780"/>
    <x v="3"/>
    <x v="1"/>
    <x v="4"/>
    <x v="2"/>
  </r>
  <r>
    <x v="563"/>
    <s v="2025-05-09"/>
    <x v="7"/>
    <n v="2025"/>
    <s v="CUST259"/>
    <s v="Customer_17"/>
    <x v="1"/>
    <x v="0"/>
    <x v="9"/>
    <n v="303"/>
    <n v="3"/>
    <n v="909"/>
    <x v="2"/>
    <x v="2"/>
    <x v="0"/>
    <x v="14"/>
  </r>
  <r>
    <x v="564"/>
    <s v="2025-06-23"/>
    <x v="8"/>
    <n v="2025"/>
    <s v="CUST446"/>
    <s v="Customer_2"/>
    <x v="1"/>
    <x v="1"/>
    <x v="4"/>
    <n v="1314"/>
    <n v="3"/>
    <n v="3942"/>
    <x v="0"/>
    <x v="1"/>
    <x v="2"/>
    <x v="18"/>
  </r>
  <r>
    <x v="565"/>
    <s v="2024-05-16"/>
    <x v="7"/>
    <n v="2024"/>
    <s v="CUST872"/>
    <s v="Customer_230"/>
    <x v="0"/>
    <x v="0"/>
    <x v="6"/>
    <n v="359"/>
    <n v="4"/>
    <n v="1436"/>
    <x v="3"/>
    <x v="2"/>
    <x v="0"/>
    <x v="27"/>
  </r>
  <r>
    <x v="566"/>
    <s v="2025-07-28"/>
    <x v="6"/>
    <n v="2025"/>
    <s v="CUST359"/>
    <s v="Customer_4"/>
    <x v="2"/>
    <x v="1"/>
    <x v="2"/>
    <n v="587"/>
    <n v="3"/>
    <n v="1761"/>
    <x v="0"/>
    <x v="3"/>
    <x v="4"/>
    <x v="25"/>
  </r>
  <r>
    <x v="567"/>
    <s v="2024-10-23"/>
    <x v="9"/>
    <n v="2024"/>
    <s v="CUST878"/>
    <s v="Customer_126"/>
    <x v="0"/>
    <x v="2"/>
    <x v="11"/>
    <n v="225"/>
    <n v="1"/>
    <n v="225"/>
    <x v="4"/>
    <x v="0"/>
    <x v="3"/>
    <x v="25"/>
  </r>
  <r>
    <x v="568"/>
    <s v="2024-04-23"/>
    <x v="1"/>
    <n v="2024"/>
    <s v="CUST240"/>
    <s v="Customer_131"/>
    <x v="2"/>
    <x v="0"/>
    <x v="9"/>
    <n v="470"/>
    <n v="5"/>
    <n v="2350"/>
    <x v="0"/>
    <x v="1"/>
    <x v="6"/>
    <x v="22"/>
  </r>
  <r>
    <x v="569"/>
    <s v="2024-05-01"/>
    <x v="7"/>
    <n v="2024"/>
    <s v="CUST278"/>
    <s v="Customer_214"/>
    <x v="0"/>
    <x v="1"/>
    <x v="14"/>
    <n v="1157"/>
    <n v="2"/>
    <n v="2314"/>
    <x v="3"/>
    <x v="0"/>
    <x v="3"/>
    <x v="4"/>
  </r>
  <r>
    <x v="570"/>
    <s v="2025-08-01"/>
    <x v="10"/>
    <n v="2025"/>
    <s v="CUST348"/>
    <s v="Customer_262"/>
    <x v="2"/>
    <x v="0"/>
    <x v="0"/>
    <n v="835"/>
    <n v="1"/>
    <n v="835"/>
    <x v="2"/>
    <x v="3"/>
    <x v="1"/>
    <x v="13"/>
  </r>
  <r>
    <x v="571"/>
    <s v="2024-08-18"/>
    <x v="10"/>
    <n v="2024"/>
    <s v="CUST849"/>
    <s v="Customer_280"/>
    <x v="1"/>
    <x v="1"/>
    <x v="2"/>
    <n v="828"/>
    <n v="3"/>
    <n v="2484"/>
    <x v="0"/>
    <x v="3"/>
    <x v="6"/>
    <x v="25"/>
  </r>
  <r>
    <x v="572"/>
    <s v="2024-02-11"/>
    <x v="5"/>
    <n v="2024"/>
    <s v="CUST377"/>
    <s v="Customer_142"/>
    <x v="1"/>
    <x v="1"/>
    <x v="13"/>
    <n v="1035"/>
    <n v="1"/>
    <n v="1035"/>
    <x v="4"/>
    <x v="2"/>
    <x v="5"/>
    <x v="11"/>
  </r>
  <r>
    <x v="573"/>
    <s v="2024-07-18"/>
    <x v="6"/>
    <n v="2024"/>
    <s v="CUST507"/>
    <s v="Customer_58"/>
    <x v="2"/>
    <x v="2"/>
    <x v="5"/>
    <n v="1086"/>
    <n v="5"/>
    <n v="5430"/>
    <x v="4"/>
    <x v="1"/>
    <x v="6"/>
    <x v="30"/>
  </r>
  <r>
    <x v="574"/>
    <s v="2024-04-17"/>
    <x v="1"/>
    <n v="2024"/>
    <s v="CUST760"/>
    <s v="Customer_14"/>
    <x v="1"/>
    <x v="0"/>
    <x v="9"/>
    <n v="810"/>
    <n v="2"/>
    <n v="1620"/>
    <x v="4"/>
    <x v="1"/>
    <x v="6"/>
    <x v="0"/>
  </r>
  <r>
    <x v="575"/>
    <s v="2025-03-03"/>
    <x v="0"/>
    <n v="2025"/>
    <s v="CUST191"/>
    <s v="Customer_217"/>
    <x v="2"/>
    <x v="0"/>
    <x v="3"/>
    <n v="620"/>
    <n v="3"/>
    <n v="1860"/>
    <x v="2"/>
    <x v="1"/>
    <x v="4"/>
    <x v="2"/>
  </r>
  <r>
    <x v="576"/>
    <s v="2025-06-07"/>
    <x v="8"/>
    <n v="2025"/>
    <s v="CUST254"/>
    <s v="Customer_157"/>
    <x v="2"/>
    <x v="2"/>
    <x v="12"/>
    <n v="820"/>
    <n v="2"/>
    <n v="1640"/>
    <x v="0"/>
    <x v="1"/>
    <x v="2"/>
    <x v="11"/>
  </r>
  <r>
    <x v="577"/>
    <s v="2024-07-08"/>
    <x v="6"/>
    <n v="2024"/>
    <s v="CUST876"/>
    <s v="Customer_32"/>
    <x v="1"/>
    <x v="1"/>
    <x v="13"/>
    <n v="620"/>
    <n v="1"/>
    <n v="620"/>
    <x v="0"/>
    <x v="1"/>
    <x v="0"/>
    <x v="25"/>
  </r>
  <r>
    <x v="578"/>
    <s v="2025-03-29"/>
    <x v="0"/>
    <n v="2025"/>
    <s v="CUST271"/>
    <s v="Customer_44"/>
    <x v="1"/>
    <x v="0"/>
    <x v="6"/>
    <n v="828"/>
    <n v="4"/>
    <n v="3312"/>
    <x v="4"/>
    <x v="0"/>
    <x v="0"/>
    <x v="26"/>
  </r>
  <r>
    <x v="579"/>
    <s v="2024-01-20"/>
    <x v="3"/>
    <n v="2024"/>
    <s v="CUST662"/>
    <s v="Customer_15"/>
    <x v="2"/>
    <x v="0"/>
    <x v="9"/>
    <n v="1480"/>
    <n v="1"/>
    <n v="1480"/>
    <x v="1"/>
    <x v="3"/>
    <x v="6"/>
    <x v="23"/>
  </r>
  <r>
    <x v="580"/>
    <s v="2024-07-27"/>
    <x v="6"/>
    <n v="2024"/>
    <s v="CUST360"/>
    <s v="Customer_269"/>
    <x v="1"/>
    <x v="1"/>
    <x v="14"/>
    <n v="1139"/>
    <n v="3"/>
    <n v="3417"/>
    <x v="4"/>
    <x v="2"/>
    <x v="4"/>
    <x v="20"/>
  </r>
  <r>
    <x v="581"/>
    <s v="2025-04-18"/>
    <x v="1"/>
    <n v="2025"/>
    <s v="CUST209"/>
    <s v="Customer_154"/>
    <x v="0"/>
    <x v="1"/>
    <x v="1"/>
    <n v="1029"/>
    <n v="4"/>
    <n v="4116"/>
    <x v="3"/>
    <x v="0"/>
    <x v="2"/>
    <x v="10"/>
  </r>
  <r>
    <x v="582"/>
    <s v="2024-03-17"/>
    <x v="0"/>
    <n v="2024"/>
    <s v="CUST795"/>
    <s v="Customer_132"/>
    <x v="1"/>
    <x v="2"/>
    <x v="8"/>
    <n v="712"/>
    <n v="4"/>
    <n v="2848"/>
    <x v="2"/>
    <x v="1"/>
    <x v="3"/>
    <x v="10"/>
  </r>
  <r>
    <x v="583"/>
    <s v="2024-09-03"/>
    <x v="11"/>
    <n v="2024"/>
    <s v="CUST912"/>
    <s v="Customer_150"/>
    <x v="1"/>
    <x v="2"/>
    <x v="7"/>
    <n v="382"/>
    <n v="4"/>
    <n v="1528"/>
    <x v="3"/>
    <x v="1"/>
    <x v="7"/>
    <x v="14"/>
  </r>
  <r>
    <x v="584"/>
    <s v="2024-02-03"/>
    <x v="5"/>
    <n v="2024"/>
    <s v="CUST240"/>
    <s v="Customer_167"/>
    <x v="0"/>
    <x v="0"/>
    <x v="9"/>
    <n v="1490"/>
    <n v="3"/>
    <n v="4470"/>
    <x v="2"/>
    <x v="1"/>
    <x v="1"/>
    <x v="12"/>
  </r>
  <r>
    <x v="585"/>
    <s v="2024-02-02"/>
    <x v="5"/>
    <n v="2024"/>
    <s v="CUST172"/>
    <s v="Customer_134"/>
    <x v="0"/>
    <x v="1"/>
    <x v="2"/>
    <n v="753"/>
    <n v="2"/>
    <n v="1506"/>
    <x v="1"/>
    <x v="2"/>
    <x v="1"/>
    <x v="5"/>
  </r>
  <r>
    <x v="586"/>
    <s v="2025-01-29"/>
    <x v="3"/>
    <n v="2025"/>
    <s v="CUST841"/>
    <s v="Customer_72"/>
    <x v="0"/>
    <x v="0"/>
    <x v="0"/>
    <n v="844"/>
    <n v="5"/>
    <n v="4220"/>
    <x v="1"/>
    <x v="1"/>
    <x v="7"/>
    <x v="26"/>
  </r>
  <r>
    <x v="587"/>
    <s v="2025-05-23"/>
    <x v="7"/>
    <n v="2025"/>
    <s v="CUST522"/>
    <s v="Customer_104"/>
    <x v="1"/>
    <x v="2"/>
    <x v="8"/>
    <n v="321"/>
    <n v="5"/>
    <n v="1605"/>
    <x v="1"/>
    <x v="0"/>
    <x v="7"/>
    <x v="7"/>
  </r>
  <r>
    <x v="588"/>
    <s v="2024-10-21"/>
    <x v="9"/>
    <n v="2024"/>
    <s v="CUST136"/>
    <s v="Customer_296"/>
    <x v="0"/>
    <x v="2"/>
    <x v="5"/>
    <n v="496"/>
    <n v="5"/>
    <n v="2480"/>
    <x v="0"/>
    <x v="0"/>
    <x v="2"/>
    <x v="21"/>
  </r>
  <r>
    <x v="589"/>
    <s v="2024-03-05"/>
    <x v="0"/>
    <n v="2024"/>
    <s v="CUST738"/>
    <s v="Customer_282"/>
    <x v="2"/>
    <x v="1"/>
    <x v="13"/>
    <n v="1368"/>
    <n v="3"/>
    <n v="4104"/>
    <x v="3"/>
    <x v="1"/>
    <x v="7"/>
    <x v="22"/>
  </r>
  <r>
    <x v="590"/>
    <s v="2025-05-13"/>
    <x v="7"/>
    <n v="2025"/>
    <s v="CUST960"/>
    <s v="Customer_90"/>
    <x v="2"/>
    <x v="1"/>
    <x v="13"/>
    <n v="550"/>
    <n v="2"/>
    <n v="1100"/>
    <x v="1"/>
    <x v="2"/>
    <x v="5"/>
    <x v="3"/>
  </r>
  <r>
    <x v="591"/>
    <s v="2024-12-31"/>
    <x v="4"/>
    <n v="2024"/>
    <s v="CUST129"/>
    <s v="Customer_296"/>
    <x v="0"/>
    <x v="0"/>
    <x v="0"/>
    <n v="669"/>
    <n v="1"/>
    <n v="669"/>
    <x v="3"/>
    <x v="2"/>
    <x v="6"/>
    <x v="7"/>
  </r>
  <r>
    <x v="592"/>
    <s v="2025-05-03"/>
    <x v="7"/>
    <n v="2025"/>
    <s v="CUST944"/>
    <s v="Customer_130"/>
    <x v="1"/>
    <x v="1"/>
    <x v="1"/>
    <n v="488"/>
    <n v="3"/>
    <n v="1464"/>
    <x v="3"/>
    <x v="1"/>
    <x v="2"/>
    <x v="28"/>
  </r>
  <r>
    <x v="593"/>
    <s v="2024-07-14"/>
    <x v="6"/>
    <n v="2024"/>
    <s v="CUST776"/>
    <s v="Customer_195"/>
    <x v="1"/>
    <x v="0"/>
    <x v="6"/>
    <n v="557"/>
    <n v="5"/>
    <n v="2785"/>
    <x v="4"/>
    <x v="3"/>
    <x v="7"/>
    <x v="25"/>
  </r>
  <r>
    <x v="594"/>
    <s v="2024-12-03"/>
    <x v="4"/>
    <n v="2024"/>
    <s v="CUST832"/>
    <s v="Customer_5"/>
    <x v="2"/>
    <x v="0"/>
    <x v="0"/>
    <n v="1420"/>
    <n v="2"/>
    <n v="2840"/>
    <x v="3"/>
    <x v="1"/>
    <x v="6"/>
    <x v="14"/>
  </r>
  <r>
    <x v="595"/>
    <s v="2024-06-17"/>
    <x v="8"/>
    <n v="2024"/>
    <s v="CUST785"/>
    <s v="Customer_207"/>
    <x v="1"/>
    <x v="1"/>
    <x v="1"/>
    <n v="476"/>
    <n v="4"/>
    <n v="1904"/>
    <x v="1"/>
    <x v="2"/>
    <x v="5"/>
    <x v="5"/>
  </r>
  <r>
    <x v="596"/>
    <s v="2024-04-08"/>
    <x v="1"/>
    <n v="2024"/>
    <s v="CUST208"/>
    <s v="Customer_21"/>
    <x v="1"/>
    <x v="0"/>
    <x v="10"/>
    <n v="750"/>
    <n v="5"/>
    <n v="3750"/>
    <x v="2"/>
    <x v="1"/>
    <x v="7"/>
    <x v="22"/>
  </r>
  <r>
    <x v="597"/>
    <s v="2024-12-28"/>
    <x v="4"/>
    <n v="2024"/>
    <s v="CUST427"/>
    <s v="Customer_129"/>
    <x v="0"/>
    <x v="1"/>
    <x v="13"/>
    <n v="270"/>
    <n v="4"/>
    <n v="1080"/>
    <x v="1"/>
    <x v="1"/>
    <x v="1"/>
    <x v="19"/>
  </r>
  <r>
    <x v="598"/>
    <s v="2025-01-15"/>
    <x v="3"/>
    <n v="2025"/>
    <s v="CUST149"/>
    <s v="Customer_67"/>
    <x v="0"/>
    <x v="2"/>
    <x v="8"/>
    <n v="795"/>
    <n v="2"/>
    <n v="1590"/>
    <x v="3"/>
    <x v="1"/>
    <x v="2"/>
    <x v="30"/>
  </r>
  <r>
    <x v="599"/>
    <s v="2025-07-09"/>
    <x v="6"/>
    <n v="2025"/>
    <s v="CUST293"/>
    <s v="Customer_242"/>
    <x v="0"/>
    <x v="0"/>
    <x v="10"/>
    <n v="388"/>
    <n v="2"/>
    <n v="776"/>
    <x v="2"/>
    <x v="2"/>
    <x v="3"/>
    <x v="0"/>
  </r>
  <r>
    <x v="600"/>
    <s v="2025-05-07"/>
    <x v="7"/>
    <n v="2025"/>
    <s v="CUST762"/>
    <s v="Customer_131"/>
    <x v="0"/>
    <x v="0"/>
    <x v="10"/>
    <n v="508"/>
    <n v="1"/>
    <n v="508"/>
    <x v="1"/>
    <x v="0"/>
    <x v="0"/>
    <x v="20"/>
  </r>
  <r>
    <x v="601"/>
    <s v="2025-06-11"/>
    <x v="8"/>
    <n v="2025"/>
    <s v="CUST180"/>
    <s v="Customer_139"/>
    <x v="0"/>
    <x v="2"/>
    <x v="7"/>
    <n v="588"/>
    <n v="3"/>
    <n v="1764"/>
    <x v="4"/>
    <x v="0"/>
    <x v="3"/>
    <x v="17"/>
  </r>
  <r>
    <x v="602"/>
    <s v="2024-06-04"/>
    <x v="8"/>
    <n v="2024"/>
    <s v="CUST678"/>
    <s v="Customer_163"/>
    <x v="0"/>
    <x v="0"/>
    <x v="3"/>
    <n v="901"/>
    <n v="5"/>
    <n v="4505"/>
    <x v="3"/>
    <x v="0"/>
    <x v="6"/>
    <x v="12"/>
  </r>
  <r>
    <x v="603"/>
    <s v="2025-02-09"/>
    <x v="5"/>
    <n v="2025"/>
    <s v="CUST582"/>
    <s v="Customer_90"/>
    <x v="2"/>
    <x v="1"/>
    <x v="4"/>
    <n v="1282"/>
    <n v="1"/>
    <n v="1282"/>
    <x v="2"/>
    <x v="0"/>
    <x v="5"/>
    <x v="0"/>
  </r>
  <r>
    <x v="604"/>
    <s v="2024-02-01"/>
    <x v="5"/>
    <n v="2024"/>
    <s v="CUST907"/>
    <s v="Customer_276"/>
    <x v="2"/>
    <x v="1"/>
    <x v="2"/>
    <n v="1448"/>
    <n v="5"/>
    <n v="7240"/>
    <x v="3"/>
    <x v="1"/>
    <x v="1"/>
    <x v="24"/>
  </r>
  <r>
    <x v="605"/>
    <s v="2024-07-27"/>
    <x v="6"/>
    <n v="2024"/>
    <s v="CUST847"/>
    <s v="Customer_130"/>
    <x v="2"/>
    <x v="2"/>
    <x v="11"/>
    <n v="411"/>
    <n v="5"/>
    <n v="2055"/>
    <x v="3"/>
    <x v="1"/>
    <x v="3"/>
    <x v="30"/>
  </r>
  <r>
    <x v="606"/>
    <s v="2024-12-16"/>
    <x v="4"/>
    <n v="2024"/>
    <s v="CUST729"/>
    <s v="Customer_58"/>
    <x v="0"/>
    <x v="0"/>
    <x v="3"/>
    <n v="560"/>
    <n v="3"/>
    <n v="1680"/>
    <x v="3"/>
    <x v="0"/>
    <x v="6"/>
    <x v="20"/>
  </r>
  <r>
    <x v="607"/>
    <s v="2024-07-12"/>
    <x v="6"/>
    <n v="2024"/>
    <s v="CUST538"/>
    <s v="Customer_266"/>
    <x v="1"/>
    <x v="0"/>
    <x v="9"/>
    <n v="401"/>
    <n v="1"/>
    <n v="401"/>
    <x v="1"/>
    <x v="2"/>
    <x v="7"/>
    <x v="1"/>
  </r>
  <r>
    <x v="608"/>
    <s v="2024-12-05"/>
    <x v="4"/>
    <n v="2024"/>
    <s v="CUST413"/>
    <s v="Customer_120"/>
    <x v="0"/>
    <x v="2"/>
    <x v="11"/>
    <n v="478"/>
    <n v="3"/>
    <n v="1434"/>
    <x v="3"/>
    <x v="2"/>
    <x v="6"/>
    <x v="14"/>
  </r>
  <r>
    <x v="609"/>
    <s v="2025-04-25"/>
    <x v="1"/>
    <n v="2025"/>
    <s v="CUST155"/>
    <s v="Customer_243"/>
    <x v="2"/>
    <x v="0"/>
    <x v="6"/>
    <n v="1247"/>
    <n v="3"/>
    <n v="3741"/>
    <x v="2"/>
    <x v="3"/>
    <x v="6"/>
    <x v="2"/>
  </r>
  <r>
    <x v="610"/>
    <s v="2024-12-17"/>
    <x v="4"/>
    <n v="2024"/>
    <s v="CUST332"/>
    <s v="Customer_267"/>
    <x v="0"/>
    <x v="0"/>
    <x v="6"/>
    <n v="1197"/>
    <n v="5"/>
    <n v="5985"/>
    <x v="1"/>
    <x v="0"/>
    <x v="6"/>
    <x v="18"/>
  </r>
  <r>
    <x v="611"/>
    <s v="2024-06-19"/>
    <x v="8"/>
    <n v="2024"/>
    <s v="CUST705"/>
    <s v="Customer_13"/>
    <x v="1"/>
    <x v="1"/>
    <x v="14"/>
    <n v="674"/>
    <n v="2"/>
    <n v="1348"/>
    <x v="4"/>
    <x v="0"/>
    <x v="2"/>
    <x v="26"/>
  </r>
  <r>
    <x v="612"/>
    <s v="2024-12-20"/>
    <x v="4"/>
    <n v="2024"/>
    <s v="CUST226"/>
    <s v="Customer_152"/>
    <x v="1"/>
    <x v="0"/>
    <x v="6"/>
    <n v="1395"/>
    <n v="3"/>
    <n v="4185"/>
    <x v="4"/>
    <x v="2"/>
    <x v="1"/>
    <x v="1"/>
  </r>
  <r>
    <x v="613"/>
    <s v="2025-06-12"/>
    <x v="8"/>
    <n v="2025"/>
    <s v="CUST483"/>
    <s v="Customer_224"/>
    <x v="0"/>
    <x v="2"/>
    <x v="7"/>
    <n v="1061"/>
    <n v="2"/>
    <n v="2122"/>
    <x v="1"/>
    <x v="0"/>
    <x v="2"/>
    <x v="22"/>
  </r>
  <r>
    <x v="614"/>
    <s v="2024-04-25"/>
    <x v="1"/>
    <n v="2024"/>
    <s v="CUST714"/>
    <s v="Customer_172"/>
    <x v="0"/>
    <x v="2"/>
    <x v="11"/>
    <n v="1466"/>
    <n v="3"/>
    <n v="4398"/>
    <x v="1"/>
    <x v="2"/>
    <x v="7"/>
    <x v="14"/>
  </r>
  <r>
    <x v="615"/>
    <s v="2024-04-12"/>
    <x v="1"/>
    <n v="2024"/>
    <s v="CUST859"/>
    <s v="Customer_198"/>
    <x v="2"/>
    <x v="2"/>
    <x v="11"/>
    <n v="591"/>
    <n v="3"/>
    <n v="1773"/>
    <x v="0"/>
    <x v="0"/>
    <x v="6"/>
    <x v="7"/>
  </r>
  <r>
    <x v="616"/>
    <s v="2025-01-29"/>
    <x v="3"/>
    <n v="2025"/>
    <s v="CUST817"/>
    <s v="Customer_166"/>
    <x v="1"/>
    <x v="1"/>
    <x v="13"/>
    <n v="266"/>
    <n v="2"/>
    <n v="532"/>
    <x v="3"/>
    <x v="3"/>
    <x v="0"/>
    <x v="1"/>
  </r>
  <r>
    <x v="617"/>
    <s v="2024-09-22"/>
    <x v="11"/>
    <n v="2024"/>
    <s v="CUST149"/>
    <s v="Customer_285"/>
    <x v="1"/>
    <x v="1"/>
    <x v="2"/>
    <n v="1327"/>
    <n v="5"/>
    <n v="6635"/>
    <x v="2"/>
    <x v="0"/>
    <x v="6"/>
    <x v="5"/>
  </r>
  <r>
    <x v="618"/>
    <s v="2025-01-28"/>
    <x v="3"/>
    <n v="2025"/>
    <s v="CUST206"/>
    <s v="Customer_105"/>
    <x v="1"/>
    <x v="0"/>
    <x v="9"/>
    <n v="1494"/>
    <n v="5"/>
    <n v="7470"/>
    <x v="0"/>
    <x v="2"/>
    <x v="3"/>
    <x v="15"/>
  </r>
  <r>
    <x v="619"/>
    <s v="2025-04-27"/>
    <x v="1"/>
    <n v="2025"/>
    <s v="CUST890"/>
    <s v="Customer_283"/>
    <x v="0"/>
    <x v="2"/>
    <x v="12"/>
    <n v="1321"/>
    <n v="3"/>
    <n v="3963"/>
    <x v="1"/>
    <x v="2"/>
    <x v="6"/>
    <x v="28"/>
  </r>
  <r>
    <x v="620"/>
    <s v="2024-02-13"/>
    <x v="5"/>
    <n v="2024"/>
    <s v="CUST194"/>
    <s v="Customer_297"/>
    <x v="1"/>
    <x v="2"/>
    <x v="12"/>
    <n v="362"/>
    <n v="3"/>
    <n v="1086"/>
    <x v="2"/>
    <x v="0"/>
    <x v="3"/>
    <x v="27"/>
  </r>
  <r>
    <x v="621"/>
    <s v="2025-01-20"/>
    <x v="3"/>
    <n v="2025"/>
    <s v="CUST710"/>
    <s v="Customer_256"/>
    <x v="2"/>
    <x v="1"/>
    <x v="14"/>
    <n v="1296"/>
    <n v="1"/>
    <n v="1296"/>
    <x v="3"/>
    <x v="1"/>
    <x v="0"/>
    <x v="4"/>
  </r>
  <r>
    <x v="622"/>
    <s v="2025-06-24"/>
    <x v="8"/>
    <n v="2025"/>
    <s v="CUST280"/>
    <s v="Customer_69"/>
    <x v="2"/>
    <x v="1"/>
    <x v="1"/>
    <n v="380"/>
    <n v="2"/>
    <n v="760"/>
    <x v="1"/>
    <x v="1"/>
    <x v="6"/>
    <x v="28"/>
  </r>
  <r>
    <x v="623"/>
    <s v="2025-05-23"/>
    <x v="7"/>
    <n v="2025"/>
    <s v="CUST918"/>
    <s v="Customer_273"/>
    <x v="2"/>
    <x v="1"/>
    <x v="2"/>
    <n v="986"/>
    <n v="2"/>
    <n v="1972"/>
    <x v="4"/>
    <x v="1"/>
    <x v="0"/>
    <x v="24"/>
  </r>
  <r>
    <x v="624"/>
    <s v="2024-10-16"/>
    <x v="9"/>
    <n v="2024"/>
    <s v="CUST626"/>
    <s v="Customer_284"/>
    <x v="2"/>
    <x v="0"/>
    <x v="0"/>
    <n v="703"/>
    <n v="3"/>
    <n v="2109"/>
    <x v="3"/>
    <x v="0"/>
    <x v="3"/>
    <x v="13"/>
  </r>
  <r>
    <x v="625"/>
    <s v="2025-07-05"/>
    <x v="6"/>
    <n v="2025"/>
    <s v="CUST790"/>
    <s v="Customer_196"/>
    <x v="1"/>
    <x v="2"/>
    <x v="11"/>
    <n v="475"/>
    <n v="4"/>
    <n v="1900"/>
    <x v="4"/>
    <x v="3"/>
    <x v="7"/>
    <x v="3"/>
  </r>
  <r>
    <x v="626"/>
    <s v="2025-03-01"/>
    <x v="0"/>
    <n v="2025"/>
    <s v="CUST122"/>
    <s v="Customer_109"/>
    <x v="1"/>
    <x v="2"/>
    <x v="7"/>
    <n v="616"/>
    <n v="5"/>
    <n v="3080"/>
    <x v="3"/>
    <x v="0"/>
    <x v="2"/>
    <x v="4"/>
  </r>
  <r>
    <x v="627"/>
    <s v="2025-03-03"/>
    <x v="0"/>
    <n v="2025"/>
    <s v="CUST576"/>
    <s v="Customer_7"/>
    <x v="0"/>
    <x v="1"/>
    <x v="13"/>
    <n v="543"/>
    <n v="2"/>
    <n v="1086"/>
    <x v="1"/>
    <x v="1"/>
    <x v="1"/>
    <x v="30"/>
  </r>
  <r>
    <x v="628"/>
    <s v="2025-05-24"/>
    <x v="7"/>
    <n v="2025"/>
    <s v="CUST759"/>
    <s v="Customer_258"/>
    <x v="0"/>
    <x v="1"/>
    <x v="14"/>
    <n v="1405"/>
    <n v="5"/>
    <n v="7025"/>
    <x v="1"/>
    <x v="1"/>
    <x v="7"/>
    <x v="8"/>
  </r>
  <r>
    <x v="629"/>
    <s v="2024-05-17"/>
    <x v="7"/>
    <n v="2024"/>
    <s v="CUST265"/>
    <s v="Customer_40"/>
    <x v="1"/>
    <x v="1"/>
    <x v="2"/>
    <n v="205"/>
    <n v="2"/>
    <n v="410"/>
    <x v="2"/>
    <x v="0"/>
    <x v="3"/>
    <x v="6"/>
  </r>
  <r>
    <x v="630"/>
    <s v="2024-06-27"/>
    <x v="8"/>
    <n v="2024"/>
    <s v="CUST762"/>
    <s v="Customer_278"/>
    <x v="2"/>
    <x v="1"/>
    <x v="4"/>
    <n v="1280"/>
    <n v="1"/>
    <n v="1280"/>
    <x v="0"/>
    <x v="2"/>
    <x v="6"/>
    <x v="9"/>
  </r>
  <r>
    <x v="631"/>
    <s v="2025-04-27"/>
    <x v="1"/>
    <n v="2025"/>
    <s v="CUST173"/>
    <s v="Customer_197"/>
    <x v="0"/>
    <x v="0"/>
    <x v="6"/>
    <n v="736"/>
    <n v="1"/>
    <n v="736"/>
    <x v="3"/>
    <x v="1"/>
    <x v="7"/>
    <x v="4"/>
  </r>
  <r>
    <x v="632"/>
    <s v="2025-05-25"/>
    <x v="7"/>
    <n v="2025"/>
    <s v="CUST996"/>
    <s v="Customer_255"/>
    <x v="1"/>
    <x v="1"/>
    <x v="2"/>
    <n v="384"/>
    <n v="1"/>
    <n v="384"/>
    <x v="4"/>
    <x v="2"/>
    <x v="3"/>
    <x v="14"/>
  </r>
  <r>
    <x v="633"/>
    <s v="2024-06-05"/>
    <x v="8"/>
    <n v="2024"/>
    <s v="CUST547"/>
    <s v="Customer_225"/>
    <x v="1"/>
    <x v="2"/>
    <x v="5"/>
    <n v="1136"/>
    <n v="4"/>
    <n v="4544"/>
    <x v="1"/>
    <x v="0"/>
    <x v="1"/>
    <x v="14"/>
  </r>
  <r>
    <x v="634"/>
    <s v="2024-06-05"/>
    <x v="8"/>
    <n v="2024"/>
    <s v="CUST271"/>
    <s v="Customer_261"/>
    <x v="2"/>
    <x v="2"/>
    <x v="11"/>
    <n v="729"/>
    <n v="4"/>
    <n v="2916"/>
    <x v="4"/>
    <x v="2"/>
    <x v="5"/>
    <x v="5"/>
  </r>
  <r>
    <x v="635"/>
    <s v="2024-11-07"/>
    <x v="2"/>
    <n v="2024"/>
    <s v="CUST172"/>
    <s v="Customer_152"/>
    <x v="1"/>
    <x v="1"/>
    <x v="14"/>
    <n v="456"/>
    <n v="3"/>
    <n v="1368"/>
    <x v="1"/>
    <x v="1"/>
    <x v="2"/>
    <x v="2"/>
  </r>
  <r>
    <x v="636"/>
    <s v="2024-12-23"/>
    <x v="4"/>
    <n v="2024"/>
    <s v="CUST573"/>
    <s v="Customer_296"/>
    <x v="2"/>
    <x v="0"/>
    <x v="9"/>
    <n v="830"/>
    <n v="3"/>
    <n v="2490"/>
    <x v="1"/>
    <x v="2"/>
    <x v="2"/>
    <x v="15"/>
  </r>
  <r>
    <x v="637"/>
    <s v="2024-01-16"/>
    <x v="3"/>
    <n v="2024"/>
    <s v="CUST295"/>
    <s v="Customer_148"/>
    <x v="1"/>
    <x v="2"/>
    <x v="11"/>
    <n v="667"/>
    <n v="4"/>
    <n v="2668"/>
    <x v="0"/>
    <x v="2"/>
    <x v="2"/>
    <x v="16"/>
  </r>
  <r>
    <x v="638"/>
    <s v="2024-01-26"/>
    <x v="3"/>
    <n v="2024"/>
    <s v="CUST548"/>
    <s v="Customer_272"/>
    <x v="0"/>
    <x v="1"/>
    <x v="2"/>
    <n v="1406"/>
    <n v="4"/>
    <n v="5624"/>
    <x v="4"/>
    <x v="1"/>
    <x v="4"/>
    <x v="18"/>
  </r>
  <r>
    <x v="639"/>
    <s v="2024-10-06"/>
    <x v="9"/>
    <n v="2024"/>
    <s v="CUST202"/>
    <s v="Customer_293"/>
    <x v="2"/>
    <x v="1"/>
    <x v="13"/>
    <n v="783"/>
    <n v="5"/>
    <n v="3915"/>
    <x v="2"/>
    <x v="1"/>
    <x v="2"/>
    <x v="3"/>
  </r>
  <r>
    <x v="640"/>
    <s v="2025-05-01"/>
    <x v="7"/>
    <n v="2025"/>
    <s v="CUST530"/>
    <s v="Customer_38"/>
    <x v="2"/>
    <x v="1"/>
    <x v="4"/>
    <n v="438"/>
    <n v="2"/>
    <n v="876"/>
    <x v="0"/>
    <x v="0"/>
    <x v="6"/>
    <x v="11"/>
  </r>
  <r>
    <x v="641"/>
    <s v="2024-11-05"/>
    <x v="2"/>
    <n v="2024"/>
    <s v="CUST607"/>
    <s v="Customer_171"/>
    <x v="1"/>
    <x v="1"/>
    <x v="14"/>
    <n v="1279"/>
    <n v="4"/>
    <n v="5116"/>
    <x v="3"/>
    <x v="2"/>
    <x v="0"/>
    <x v="26"/>
  </r>
  <r>
    <x v="642"/>
    <s v="2024-06-02"/>
    <x v="8"/>
    <n v="2024"/>
    <s v="CUST259"/>
    <s v="Customer_69"/>
    <x v="2"/>
    <x v="2"/>
    <x v="7"/>
    <n v="488"/>
    <n v="1"/>
    <n v="488"/>
    <x v="2"/>
    <x v="3"/>
    <x v="5"/>
    <x v="13"/>
  </r>
  <r>
    <x v="643"/>
    <s v="2024-02-20"/>
    <x v="5"/>
    <n v="2024"/>
    <s v="CUST465"/>
    <s v="Customer_153"/>
    <x v="2"/>
    <x v="1"/>
    <x v="1"/>
    <n v="899"/>
    <n v="4"/>
    <n v="3596"/>
    <x v="2"/>
    <x v="0"/>
    <x v="1"/>
    <x v="9"/>
  </r>
  <r>
    <x v="644"/>
    <s v="2025-01-22"/>
    <x v="3"/>
    <n v="2025"/>
    <s v="CUST349"/>
    <s v="Customer_173"/>
    <x v="0"/>
    <x v="0"/>
    <x v="3"/>
    <n v="545"/>
    <n v="2"/>
    <n v="1090"/>
    <x v="2"/>
    <x v="1"/>
    <x v="3"/>
    <x v="8"/>
  </r>
  <r>
    <x v="645"/>
    <s v="2025-07-09"/>
    <x v="6"/>
    <n v="2025"/>
    <s v="CUST880"/>
    <s v="Customer_263"/>
    <x v="2"/>
    <x v="1"/>
    <x v="2"/>
    <n v="1044"/>
    <n v="3"/>
    <n v="3132"/>
    <x v="3"/>
    <x v="0"/>
    <x v="0"/>
    <x v="14"/>
  </r>
  <r>
    <x v="646"/>
    <s v="2025-03-15"/>
    <x v="0"/>
    <n v="2025"/>
    <s v="CUST896"/>
    <s v="Customer_98"/>
    <x v="1"/>
    <x v="0"/>
    <x v="6"/>
    <n v="449"/>
    <n v="5"/>
    <n v="2245"/>
    <x v="2"/>
    <x v="3"/>
    <x v="2"/>
    <x v="17"/>
  </r>
  <r>
    <x v="647"/>
    <s v="2024-06-28"/>
    <x v="8"/>
    <n v="2024"/>
    <s v="CUST642"/>
    <s v="Customer_193"/>
    <x v="0"/>
    <x v="2"/>
    <x v="5"/>
    <n v="1186"/>
    <n v="1"/>
    <n v="1186"/>
    <x v="2"/>
    <x v="2"/>
    <x v="1"/>
    <x v="22"/>
  </r>
  <r>
    <x v="648"/>
    <s v="2024-09-30"/>
    <x v="11"/>
    <n v="2024"/>
    <s v="CUST228"/>
    <s v="Customer_38"/>
    <x v="0"/>
    <x v="2"/>
    <x v="12"/>
    <n v="1151"/>
    <n v="1"/>
    <n v="1151"/>
    <x v="3"/>
    <x v="2"/>
    <x v="2"/>
    <x v="0"/>
  </r>
  <r>
    <x v="649"/>
    <s v="2024-04-26"/>
    <x v="1"/>
    <n v="2024"/>
    <s v="CUST224"/>
    <s v="Customer_96"/>
    <x v="2"/>
    <x v="1"/>
    <x v="4"/>
    <n v="548"/>
    <n v="3"/>
    <n v="1644"/>
    <x v="3"/>
    <x v="3"/>
    <x v="3"/>
    <x v="16"/>
  </r>
  <r>
    <x v="650"/>
    <s v="2024-06-12"/>
    <x v="8"/>
    <n v="2024"/>
    <s v="CUST249"/>
    <s v="Customer_31"/>
    <x v="0"/>
    <x v="0"/>
    <x v="0"/>
    <n v="1098"/>
    <n v="3"/>
    <n v="3294"/>
    <x v="0"/>
    <x v="0"/>
    <x v="4"/>
    <x v="12"/>
  </r>
  <r>
    <x v="651"/>
    <s v="2025-06-11"/>
    <x v="8"/>
    <n v="2025"/>
    <s v="CUST195"/>
    <s v="Customer_113"/>
    <x v="2"/>
    <x v="0"/>
    <x v="6"/>
    <n v="1108"/>
    <n v="2"/>
    <n v="2216"/>
    <x v="2"/>
    <x v="0"/>
    <x v="3"/>
    <x v="24"/>
  </r>
  <r>
    <x v="652"/>
    <s v="2024-06-26"/>
    <x v="8"/>
    <n v="2024"/>
    <s v="CUST269"/>
    <s v="Customer_172"/>
    <x v="1"/>
    <x v="2"/>
    <x v="12"/>
    <n v="494"/>
    <n v="4"/>
    <n v="1976"/>
    <x v="4"/>
    <x v="1"/>
    <x v="7"/>
    <x v="2"/>
  </r>
  <r>
    <x v="653"/>
    <s v="2024-12-04"/>
    <x v="4"/>
    <n v="2024"/>
    <s v="CUST653"/>
    <s v="Customer_282"/>
    <x v="0"/>
    <x v="1"/>
    <x v="1"/>
    <n v="478"/>
    <n v="5"/>
    <n v="2390"/>
    <x v="1"/>
    <x v="3"/>
    <x v="1"/>
    <x v="16"/>
  </r>
  <r>
    <x v="654"/>
    <s v="2024-11-23"/>
    <x v="2"/>
    <n v="2024"/>
    <s v="CUST449"/>
    <s v="Customer_111"/>
    <x v="1"/>
    <x v="2"/>
    <x v="7"/>
    <n v="805"/>
    <n v="2"/>
    <n v="1610"/>
    <x v="3"/>
    <x v="3"/>
    <x v="5"/>
    <x v="27"/>
  </r>
  <r>
    <x v="655"/>
    <s v="2025-03-20"/>
    <x v="0"/>
    <n v="2025"/>
    <s v="CUST646"/>
    <s v="Customer_170"/>
    <x v="0"/>
    <x v="1"/>
    <x v="4"/>
    <n v="306"/>
    <n v="5"/>
    <n v="1530"/>
    <x v="3"/>
    <x v="3"/>
    <x v="0"/>
    <x v="6"/>
  </r>
  <r>
    <x v="656"/>
    <s v="2025-07-11"/>
    <x v="6"/>
    <n v="2025"/>
    <s v="CUST360"/>
    <s v="Customer_33"/>
    <x v="1"/>
    <x v="1"/>
    <x v="2"/>
    <n v="1257"/>
    <n v="5"/>
    <n v="6285"/>
    <x v="0"/>
    <x v="0"/>
    <x v="0"/>
    <x v="19"/>
  </r>
  <r>
    <x v="657"/>
    <s v="2025-08-06"/>
    <x v="10"/>
    <n v="2025"/>
    <s v="CUST945"/>
    <s v="Customer_189"/>
    <x v="2"/>
    <x v="2"/>
    <x v="12"/>
    <n v="803"/>
    <n v="5"/>
    <n v="4015"/>
    <x v="1"/>
    <x v="3"/>
    <x v="4"/>
    <x v="28"/>
  </r>
  <r>
    <x v="658"/>
    <s v="2025-03-17"/>
    <x v="0"/>
    <n v="2025"/>
    <s v="CUST506"/>
    <s v="Customer_229"/>
    <x v="2"/>
    <x v="2"/>
    <x v="5"/>
    <n v="833"/>
    <n v="4"/>
    <n v="3332"/>
    <x v="3"/>
    <x v="3"/>
    <x v="5"/>
    <x v="27"/>
  </r>
  <r>
    <x v="659"/>
    <s v="2024-07-17"/>
    <x v="6"/>
    <n v="2024"/>
    <s v="CUST163"/>
    <s v="Customer_228"/>
    <x v="1"/>
    <x v="1"/>
    <x v="2"/>
    <n v="282"/>
    <n v="5"/>
    <n v="1410"/>
    <x v="4"/>
    <x v="2"/>
    <x v="5"/>
    <x v="25"/>
  </r>
  <r>
    <x v="660"/>
    <s v="2025-07-19"/>
    <x v="6"/>
    <n v="2025"/>
    <s v="CUST557"/>
    <s v="Customer_299"/>
    <x v="0"/>
    <x v="1"/>
    <x v="14"/>
    <n v="1258"/>
    <n v="1"/>
    <n v="1258"/>
    <x v="1"/>
    <x v="2"/>
    <x v="3"/>
    <x v="20"/>
  </r>
  <r>
    <x v="661"/>
    <s v="2025-07-19"/>
    <x v="6"/>
    <n v="2025"/>
    <s v="CUST874"/>
    <s v="Customer_254"/>
    <x v="2"/>
    <x v="2"/>
    <x v="5"/>
    <n v="839"/>
    <n v="1"/>
    <n v="839"/>
    <x v="4"/>
    <x v="0"/>
    <x v="1"/>
    <x v="24"/>
  </r>
  <r>
    <x v="662"/>
    <s v="2024-11-11"/>
    <x v="2"/>
    <n v="2024"/>
    <s v="CUST174"/>
    <s v="Customer_3"/>
    <x v="1"/>
    <x v="1"/>
    <x v="1"/>
    <n v="1008"/>
    <n v="3"/>
    <n v="3024"/>
    <x v="1"/>
    <x v="1"/>
    <x v="2"/>
    <x v="24"/>
  </r>
  <r>
    <x v="663"/>
    <s v="2024-02-15"/>
    <x v="5"/>
    <n v="2024"/>
    <s v="CUST199"/>
    <s v="Customer_80"/>
    <x v="0"/>
    <x v="0"/>
    <x v="0"/>
    <n v="636"/>
    <n v="1"/>
    <n v="636"/>
    <x v="3"/>
    <x v="1"/>
    <x v="0"/>
    <x v="14"/>
  </r>
  <r>
    <x v="664"/>
    <s v="2025-07-25"/>
    <x v="6"/>
    <n v="2025"/>
    <s v="CUST480"/>
    <s v="Customer_223"/>
    <x v="2"/>
    <x v="2"/>
    <x v="5"/>
    <n v="630"/>
    <n v="2"/>
    <n v="1260"/>
    <x v="0"/>
    <x v="3"/>
    <x v="1"/>
    <x v="27"/>
  </r>
  <r>
    <x v="665"/>
    <s v="2024-04-18"/>
    <x v="1"/>
    <n v="2024"/>
    <s v="CUST885"/>
    <s v="Customer_98"/>
    <x v="2"/>
    <x v="0"/>
    <x v="6"/>
    <n v="675"/>
    <n v="5"/>
    <n v="3375"/>
    <x v="4"/>
    <x v="1"/>
    <x v="7"/>
    <x v="18"/>
  </r>
  <r>
    <x v="666"/>
    <s v="2024-05-21"/>
    <x v="7"/>
    <n v="2024"/>
    <s v="CUST475"/>
    <s v="Customer_237"/>
    <x v="1"/>
    <x v="2"/>
    <x v="12"/>
    <n v="1461"/>
    <n v="1"/>
    <n v="1461"/>
    <x v="3"/>
    <x v="1"/>
    <x v="2"/>
    <x v="19"/>
  </r>
  <r>
    <x v="667"/>
    <s v="2025-05-06"/>
    <x v="7"/>
    <n v="2025"/>
    <s v="CUST368"/>
    <s v="Customer_120"/>
    <x v="2"/>
    <x v="1"/>
    <x v="2"/>
    <n v="1165"/>
    <n v="5"/>
    <n v="5825"/>
    <x v="3"/>
    <x v="0"/>
    <x v="0"/>
    <x v="11"/>
  </r>
  <r>
    <x v="668"/>
    <s v="2024-01-20"/>
    <x v="3"/>
    <n v="2024"/>
    <s v="CUST352"/>
    <s v="Customer_167"/>
    <x v="2"/>
    <x v="0"/>
    <x v="0"/>
    <n v="1281"/>
    <n v="1"/>
    <n v="1281"/>
    <x v="2"/>
    <x v="0"/>
    <x v="2"/>
    <x v="3"/>
  </r>
  <r>
    <x v="669"/>
    <s v="2024-10-26"/>
    <x v="9"/>
    <n v="2024"/>
    <s v="CUST526"/>
    <s v="Customer_160"/>
    <x v="1"/>
    <x v="2"/>
    <x v="12"/>
    <n v="551"/>
    <n v="4"/>
    <n v="2204"/>
    <x v="0"/>
    <x v="3"/>
    <x v="5"/>
    <x v="16"/>
  </r>
  <r>
    <x v="670"/>
    <s v="2025-03-16"/>
    <x v="0"/>
    <n v="2025"/>
    <s v="CUST540"/>
    <s v="Customer_158"/>
    <x v="0"/>
    <x v="0"/>
    <x v="6"/>
    <n v="319"/>
    <n v="1"/>
    <n v="319"/>
    <x v="1"/>
    <x v="0"/>
    <x v="7"/>
    <x v="26"/>
  </r>
  <r>
    <x v="671"/>
    <s v="2024-03-19"/>
    <x v="0"/>
    <n v="2024"/>
    <s v="CUST470"/>
    <s v="Customer_135"/>
    <x v="2"/>
    <x v="0"/>
    <x v="6"/>
    <n v="297"/>
    <n v="1"/>
    <n v="297"/>
    <x v="4"/>
    <x v="3"/>
    <x v="7"/>
    <x v="14"/>
  </r>
  <r>
    <x v="672"/>
    <s v="2024-02-09"/>
    <x v="5"/>
    <n v="2024"/>
    <s v="CUST272"/>
    <s v="Customer_288"/>
    <x v="0"/>
    <x v="1"/>
    <x v="13"/>
    <n v="674"/>
    <n v="3"/>
    <n v="2022"/>
    <x v="2"/>
    <x v="3"/>
    <x v="3"/>
    <x v="19"/>
  </r>
  <r>
    <x v="673"/>
    <s v="2025-05-17"/>
    <x v="7"/>
    <n v="2025"/>
    <s v="CUST162"/>
    <s v="Customer_176"/>
    <x v="0"/>
    <x v="0"/>
    <x v="10"/>
    <n v="704"/>
    <n v="2"/>
    <n v="1408"/>
    <x v="4"/>
    <x v="1"/>
    <x v="6"/>
    <x v="1"/>
  </r>
  <r>
    <x v="674"/>
    <s v="2024-08-08"/>
    <x v="10"/>
    <n v="2024"/>
    <s v="CUST496"/>
    <s v="Customer_173"/>
    <x v="0"/>
    <x v="1"/>
    <x v="14"/>
    <n v="274"/>
    <n v="4"/>
    <n v="1096"/>
    <x v="1"/>
    <x v="0"/>
    <x v="0"/>
    <x v="16"/>
  </r>
  <r>
    <x v="675"/>
    <s v="2024-10-03"/>
    <x v="9"/>
    <n v="2024"/>
    <s v="CUST444"/>
    <s v="Customer_22"/>
    <x v="0"/>
    <x v="2"/>
    <x v="12"/>
    <n v="772"/>
    <n v="2"/>
    <n v="1544"/>
    <x v="4"/>
    <x v="0"/>
    <x v="4"/>
    <x v="13"/>
  </r>
  <r>
    <x v="676"/>
    <s v="2024-12-25"/>
    <x v="4"/>
    <n v="2024"/>
    <s v="CUST145"/>
    <s v="Customer_129"/>
    <x v="1"/>
    <x v="0"/>
    <x v="0"/>
    <n v="1060"/>
    <n v="3"/>
    <n v="3180"/>
    <x v="3"/>
    <x v="2"/>
    <x v="5"/>
    <x v="8"/>
  </r>
  <r>
    <x v="677"/>
    <s v="2025-02-03"/>
    <x v="5"/>
    <n v="2025"/>
    <s v="CUST236"/>
    <s v="Customer_94"/>
    <x v="2"/>
    <x v="2"/>
    <x v="8"/>
    <n v="1268"/>
    <n v="3"/>
    <n v="3804"/>
    <x v="1"/>
    <x v="3"/>
    <x v="7"/>
    <x v="25"/>
  </r>
  <r>
    <x v="678"/>
    <s v="2025-08-24"/>
    <x v="10"/>
    <n v="2025"/>
    <s v="CUST754"/>
    <s v="Customer_267"/>
    <x v="1"/>
    <x v="0"/>
    <x v="10"/>
    <n v="700"/>
    <n v="5"/>
    <n v="3500"/>
    <x v="2"/>
    <x v="1"/>
    <x v="6"/>
    <x v="20"/>
  </r>
  <r>
    <x v="679"/>
    <s v="2024-04-28"/>
    <x v="1"/>
    <n v="2024"/>
    <s v="CUST914"/>
    <s v="Customer_161"/>
    <x v="2"/>
    <x v="2"/>
    <x v="12"/>
    <n v="259"/>
    <n v="2"/>
    <n v="518"/>
    <x v="1"/>
    <x v="2"/>
    <x v="3"/>
    <x v="17"/>
  </r>
  <r>
    <x v="680"/>
    <s v="2024-05-25"/>
    <x v="7"/>
    <n v="2024"/>
    <s v="CUST879"/>
    <s v="Customer_97"/>
    <x v="0"/>
    <x v="2"/>
    <x v="8"/>
    <n v="1199"/>
    <n v="5"/>
    <n v="5995"/>
    <x v="4"/>
    <x v="3"/>
    <x v="1"/>
    <x v="29"/>
  </r>
  <r>
    <x v="681"/>
    <s v="2024-04-10"/>
    <x v="1"/>
    <n v="2024"/>
    <s v="CUST959"/>
    <s v="Customer_234"/>
    <x v="1"/>
    <x v="1"/>
    <x v="2"/>
    <n v="1320"/>
    <n v="2"/>
    <n v="2640"/>
    <x v="2"/>
    <x v="2"/>
    <x v="0"/>
    <x v="10"/>
  </r>
  <r>
    <x v="682"/>
    <s v="2025-06-09"/>
    <x v="8"/>
    <n v="2025"/>
    <s v="CUST741"/>
    <s v="Customer_134"/>
    <x v="2"/>
    <x v="1"/>
    <x v="4"/>
    <n v="401"/>
    <n v="5"/>
    <n v="2005"/>
    <x v="1"/>
    <x v="1"/>
    <x v="4"/>
    <x v="26"/>
  </r>
  <r>
    <x v="683"/>
    <s v="2025-07-29"/>
    <x v="6"/>
    <n v="2025"/>
    <s v="CUST858"/>
    <s v="Customer_199"/>
    <x v="1"/>
    <x v="2"/>
    <x v="11"/>
    <n v="583"/>
    <n v="2"/>
    <n v="1166"/>
    <x v="0"/>
    <x v="3"/>
    <x v="0"/>
    <x v="21"/>
  </r>
  <r>
    <x v="684"/>
    <s v="2024-07-14"/>
    <x v="6"/>
    <n v="2024"/>
    <s v="CUST925"/>
    <s v="Customer_264"/>
    <x v="1"/>
    <x v="2"/>
    <x v="12"/>
    <n v="482"/>
    <n v="1"/>
    <n v="482"/>
    <x v="2"/>
    <x v="0"/>
    <x v="1"/>
    <x v="8"/>
  </r>
  <r>
    <x v="685"/>
    <s v="2024-08-10"/>
    <x v="10"/>
    <n v="2024"/>
    <s v="CUST902"/>
    <s v="Customer_82"/>
    <x v="1"/>
    <x v="2"/>
    <x v="12"/>
    <n v="1249"/>
    <n v="3"/>
    <n v="3747"/>
    <x v="1"/>
    <x v="0"/>
    <x v="4"/>
    <x v="5"/>
  </r>
  <r>
    <x v="686"/>
    <s v="2025-03-04"/>
    <x v="0"/>
    <n v="2025"/>
    <s v="CUST966"/>
    <s v="Customer_64"/>
    <x v="1"/>
    <x v="0"/>
    <x v="3"/>
    <n v="1275"/>
    <n v="5"/>
    <n v="6375"/>
    <x v="0"/>
    <x v="2"/>
    <x v="2"/>
    <x v="9"/>
  </r>
  <r>
    <x v="687"/>
    <s v="2024-05-06"/>
    <x v="7"/>
    <n v="2024"/>
    <s v="CUST697"/>
    <s v="Customer_174"/>
    <x v="1"/>
    <x v="0"/>
    <x v="0"/>
    <n v="554"/>
    <n v="4"/>
    <n v="2216"/>
    <x v="0"/>
    <x v="3"/>
    <x v="5"/>
    <x v="8"/>
  </r>
  <r>
    <x v="688"/>
    <s v="2024-02-03"/>
    <x v="5"/>
    <n v="2024"/>
    <s v="CUST110"/>
    <s v="Customer_190"/>
    <x v="1"/>
    <x v="2"/>
    <x v="7"/>
    <n v="565"/>
    <n v="2"/>
    <n v="1130"/>
    <x v="4"/>
    <x v="3"/>
    <x v="2"/>
    <x v="21"/>
  </r>
  <r>
    <x v="689"/>
    <s v="2024-06-30"/>
    <x v="8"/>
    <n v="2024"/>
    <s v="CUST258"/>
    <s v="Customer_23"/>
    <x v="1"/>
    <x v="0"/>
    <x v="9"/>
    <n v="860"/>
    <n v="5"/>
    <n v="4300"/>
    <x v="4"/>
    <x v="1"/>
    <x v="7"/>
    <x v="7"/>
  </r>
  <r>
    <x v="690"/>
    <s v="2024-07-28"/>
    <x v="6"/>
    <n v="2024"/>
    <s v="CUST371"/>
    <s v="Customer_290"/>
    <x v="1"/>
    <x v="2"/>
    <x v="7"/>
    <n v="810"/>
    <n v="5"/>
    <n v="4050"/>
    <x v="1"/>
    <x v="2"/>
    <x v="1"/>
    <x v="16"/>
  </r>
  <r>
    <x v="691"/>
    <s v="2024-05-18"/>
    <x v="7"/>
    <n v="2024"/>
    <s v="CUST435"/>
    <s v="Customer_219"/>
    <x v="0"/>
    <x v="0"/>
    <x v="9"/>
    <n v="626"/>
    <n v="4"/>
    <n v="2504"/>
    <x v="4"/>
    <x v="3"/>
    <x v="5"/>
    <x v="28"/>
  </r>
  <r>
    <x v="692"/>
    <s v="2024-05-01"/>
    <x v="7"/>
    <n v="2024"/>
    <s v="CUST889"/>
    <s v="Customer_18"/>
    <x v="1"/>
    <x v="2"/>
    <x v="12"/>
    <n v="268"/>
    <n v="3"/>
    <n v="804"/>
    <x v="0"/>
    <x v="2"/>
    <x v="2"/>
    <x v="0"/>
  </r>
  <r>
    <x v="693"/>
    <s v="2025-04-25"/>
    <x v="1"/>
    <n v="2025"/>
    <s v="CUST880"/>
    <s v="Customer_140"/>
    <x v="1"/>
    <x v="0"/>
    <x v="6"/>
    <n v="415"/>
    <n v="4"/>
    <n v="1660"/>
    <x v="2"/>
    <x v="2"/>
    <x v="1"/>
    <x v="19"/>
  </r>
  <r>
    <x v="694"/>
    <s v="2024-05-03"/>
    <x v="7"/>
    <n v="2024"/>
    <s v="CUST309"/>
    <s v="Customer_199"/>
    <x v="2"/>
    <x v="1"/>
    <x v="13"/>
    <n v="985"/>
    <n v="1"/>
    <n v="985"/>
    <x v="1"/>
    <x v="2"/>
    <x v="1"/>
    <x v="0"/>
  </r>
  <r>
    <x v="695"/>
    <s v="2024-02-12"/>
    <x v="5"/>
    <n v="2024"/>
    <s v="CUST437"/>
    <s v="Customer_118"/>
    <x v="0"/>
    <x v="2"/>
    <x v="11"/>
    <n v="837"/>
    <n v="1"/>
    <n v="837"/>
    <x v="0"/>
    <x v="0"/>
    <x v="3"/>
    <x v="5"/>
  </r>
  <r>
    <x v="696"/>
    <s v="2025-01-14"/>
    <x v="3"/>
    <n v="2025"/>
    <s v="CUST364"/>
    <s v="Customer_127"/>
    <x v="1"/>
    <x v="1"/>
    <x v="13"/>
    <n v="1456"/>
    <n v="4"/>
    <n v="5824"/>
    <x v="3"/>
    <x v="2"/>
    <x v="6"/>
    <x v="2"/>
  </r>
  <r>
    <x v="697"/>
    <s v="2025-03-10"/>
    <x v="0"/>
    <n v="2025"/>
    <s v="CUST639"/>
    <s v="Customer_54"/>
    <x v="0"/>
    <x v="1"/>
    <x v="14"/>
    <n v="464"/>
    <n v="2"/>
    <n v="928"/>
    <x v="1"/>
    <x v="1"/>
    <x v="1"/>
    <x v="19"/>
  </r>
  <r>
    <x v="698"/>
    <s v="2024-09-17"/>
    <x v="11"/>
    <n v="2024"/>
    <s v="CUST248"/>
    <s v="Customer_240"/>
    <x v="0"/>
    <x v="1"/>
    <x v="1"/>
    <n v="494"/>
    <n v="2"/>
    <n v="988"/>
    <x v="1"/>
    <x v="1"/>
    <x v="7"/>
    <x v="12"/>
  </r>
  <r>
    <x v="699"/>
    <s v="2024-11-11"/>
    <x v="2"/>
    <n v="2024"/>
    <s v="CUST749"/>
    <s v="Customer_147"/>
    <x v="0"/>
    <x v="0"/>
    <x v="6"/>
    <n v="317"/>
    <n v="3"/>
    <n v="951"/>
    <x v="4"/>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ED7F04-2877-4D8B-88B6-055778B455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F12"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axis="axisRow" showAll="0">
      <items count="9">
        <item x="4"/>
        <item x="0"/>
        <item x="5"/>
        <item x="6"/>
        <item x="7"/>
        <item x="1"/>
        <item x="3"/>
        <item x="2"/>
        <item t="default"/>
      </items>
    </pivotField>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7" item="0" hier="-1"/>
  </pageFields>
  <dataFields count="2">
    <dataField name="Sum of amount" fld="11" baseField="0" baseItem="0"/>
    <dataField name="Count of order_id" fld="0"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5843EB-9783-4E18-8F3E-BA0CA46209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rowPageCount="1" colPageCount="1"/>
  <pivotFields count="16">
    <pivotField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axis="axisRow"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8"/>
  </rowFields>
  <rowItems count="6">
    <i>
      <x/>
    </i>
    <i>
      <x v="1"/>
    </i>
    <i>
      <x v="2"/>
    </i>
    <i>
      <x v="3"/>
    </i>
    <i>
      <x v="4"/>
    </i>
    <i t="grand">
      <x/>
    </i>
  </rowItems>
  <colItems count="1">
    <i/>
  </colItems>
  <pageFields count="1">
    <pageField fld="7" item="0" hier="-1"/>
  </pageFields>
  <dataFields count="1">
    <dataField name="Sum of amount" fld="11" baseField="0" baseItem="0"/>
  </dataFields>
  <chartFormats count="1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3"/>
          </reference>
        </references>
      </pivotArea>
    </chartFormat>
    <chartFormat chart="3" format="5">
      <pivotArea type="data" outline="0" fieldPosition="0">
        <references count="2">
          <reference field="4294967294" count="1" selected="0">
            <x v="0"/>
          </reference>
          <reference field="8"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8" count="1" selected="0">
            <x v="0"/>
          </reference>
        </references>
      </pivotArea>
    </chartFormat>
    <chartFormat chart="10" format="14">
      <pivotArea type="data" outline="0" fieldPosition="0">
        <references count="2">
          <reference field="4294967294" count="1" selected="0">
            <x v="0"/>
          </reference>
          <reference field="8" count="1" selected="0">
            <x v="1"/>
          </reference>
        </references>
      </pivotArea>
    </chartFormat>
    <chartFormat chart="10" format="15">
      <pivotArea type="data" outline="0" fieldPosition="0">
        <references count="2">
          <reference field="4294967294" count="1" selected="0">
            <x v="0"/>
          </reference>
          <reference field="8" count="1" selected="0">
            <x v="2"/>
          </reference>
        </references>
      </pivotArea>
    </chartFormat>
    <chartFormat chart="10" format="16">
      <pivotArea type="data" outline="0" fieldPosition="0">
        <references count="2">
          <reference field="4294967294" count="1" selected="0">
            <x v="0"/>
          </reference>
          <reference field="8" count="1" selected="0">
            <x v="3"/>
          </reference>
        </references>
      </pivotArea>
    </chartFormat>
    <chartFormat chart="10" format="17">
      <pivotArea type="data" outline="0" fieldPosition="0">
        <references count="2">
          <reference field="4294967294" count="1" selected="0">
            <x v="0"/>
          </reference>
          <reference field="8" count="1" selected="0">
            <x v="4"/>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8" count="1" selected="0">
            <x v="0"/>
          </reference>
        </references>
      </pivotArea>
    </chartFormat>
    <chartFormat chart="12" format="26">
      <pivotArea type="data" outline="0" fieldPosition="0">
        <references count="2">
          <reference field="4294967294" count="1" selected="0">
            <x v="0"/>
          </reference>
          <reference field="8" count="1" selected="0">
            <x v="1"/>
          </reference>
        </references>
      </pivotArea>
    </chartFormat>
    <chartFormat chart="12" format="27">
      <pivotArea type="data" outline="0" fieldPosition="0">
        <references count="2">
          <reference field="4294967294" count="1" selected="0">
            <x v="0"/>
          </reference>
          <reference field="8" count="1" selected="0">
            <x v="2"/>
          </reference>
        </references>
      </pivotArea>
    </chartFormat>
    <chartFormat chart="12" format="28">
      <pivotArea type="data" outline="0" fieldPosition="0">
        <references count="2">
          <reference field="4294967294" count="1" selected="0">
            <x v="0"/>
          </reference>
          <reference field="8" count="1" selected="0">
            <x v="3"/>
          </reference>
        </references>
      </pivotArea>
    </chartFormat>
    <chartFormat chart="12" format="29">
      <pivotArea type="data" outline="0" fieldPosition="0">
        <references count="2">
          <reference field="4294967294" count="1" selected="0">
            <x v="0"/>
          </reference>
          <reference field="8" count="1" selected="0">
            <x v="4"/>
          </reference>
        </references>
      </pivotArea>
    </chartFormat>
    <chartFormat chart="3"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341D63-1AE1-4299-AA3D-4E9CAFCA02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Q8"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axis="axisRow" showAll="0">
      <items count="5">
        <item x="2"/>
        <item x="3"/>
        <item x="0"/>
        <item x="1"/>
        <item t="default"/>
      </items>
    </pivotField>
    <pivotField showAll="0">
      <items count="9">
        <item x="4"/>
        <item x="0"/>
        <item x="5"/>
        <item x="6"/>
        <item x="7"/>
        <item x="1"/>
        <item x="3"/>
        <item x="2"/>
        <item t="default"/>
      </items>
    </pivotField>
    <pivotField showAll="0"/>
  </pivotFields>
  <rowFields count="1">
    <field x="13"/>
  </rowFields>
  <rowItems count="5">
    <i>
      <x/>
    </i>
    <i>
      <x v="1"/>
    </i>
    <i>
      <x v="2"/>
    </i>
    <i>
      <x v="3"/>
    </i>
    <i t="grand">
      <x/>
    </i>
  </rowItems>
  <colFields count="1">
    <field x="-2"/>
  </colFields>
  <colItems count="2">
    <i>
      <x/>
    </i>
    <i i="1">
      <x v="1"/>
    </i>
  </colItems>
  <pageFields count="1">
    <pageField fld="7" item="0" hier="-1"/>
  </pageFields>
  <dataFields count="2">
    <dataField name="Sum of amount" fld="11" baseField="0" baseItem="0"/>
    <dataField name="Count of order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A45890-9C70-4FDF-BDBA-042A6776B5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M35"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axis="axisRow" showAll="0">
      <items count="32">
        <item x="5"/>
        <item x="27"/>
        <item x="1"/>
        <item x="21"/>
        <item x="6"/>
        <item x="26"/>
        <item x="7"/>
        <item x="25"/>
        <item x="15"/>
        <item x="11"/>
        <item x="22"/>
        <item x="20"/>
        <item x="24"/>
        <item x="8"/>
        <item x="9"/>
        <item x="13"/>
        <item x="19"/>
        <item x="23"/>
        <item x="29"/>
        <item x="30"/>
        <item x="16"/>
        <item x="18"/>
        <item x="4"/>
        <item x="28"/>
        <item x="0"/>
        <item x="14"/>
        <item x="2"/>
        <item x="10"/>
        <item x="3"/>
        <item x="17"/>
        <item x="12"/>
        <item t="default"/>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pageFields count="1">
    <pageField fld="7" item="0" hier="-1"/>
  </pageFields>
  <dataFields count="2">
    <dataField name="Sum of amount" fld="11" baseField="0" baseItem="0"/>
    <dataField name="Count of order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84E710-11BE-4FE5-8FA2-38CEA330A2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16" firstHeaderRow="1" firstDataRow="1" firstDataCol="1" rowPageCount="1" colPageCount="1"/>
  <pivotFields count="16">
    <pivotField showAll="0"/>
    <pivotField showAll="0"/>
    <pivotField axis="axisRow"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7" item="0" hier="-1"/>
  </pageFields>
  <dataFields count="1">
    <dataField name="Sum of amount" fld="11" baseField="0" baseItem="0"/>
  </dataField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4C976-9A24-4222-863E-81F1411945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M35"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axis="axisRow" showAll="0">
      <items count="32">
        <item x="5"/>
        <item x="27"/>
        <item x="1"/>
        <item x="21"/>
        <item x="6"/>
        <item x="26"/>
        <item x="7"/>
        <item x="25"/>
        <item x="15"/>
        <item x="11"/>
        <item x="22"/>
        <item x="20"/>
        <item x="24"/>
        <item x="8"/>
        <item x="9"/>
        <item x="13"/>
        <item x="19"/>
        <item x="23"/>
        <item x="29"/>
        <item x="30"/>
        <item x="16"/>
        <item x="18"/>
        <item x="4"/>
        <item x="28"/>
        <item x="0"/>
        <item x="14"/>
        <item x="2"/>
        <item x="10"/>
        <item x="3"/>
        <item x="17"/>
        <item x="12"/>
        <item t="default"/>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pageFields count="1">
    <pageField fld="7" item="1" hier="-1"/>
  </pageFields>
  <dataFields count="2">
    <dataField name="Sum of amount" fld="11" baseField="0" baseItem="0"/>
    <dataField name="Count of order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75DDD2-7E83-410E-80CA-1B6B178E23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6" firstHeaderRow="1" firstDataRow="1" firstDataCol="1" rowPageCount="1" colPageCount="1"/>
  <pivotFields count="16">
    <pivotField showAll="0"/>
    <pivotField showAll="0"/>
    <pivotField axis="axisRow"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7" item="1" hier="-1"/>
  </pageFields>
  <dataFields count="1">
    <dataField name="Sum of amount" fld="11"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357B0A-539D-46C0-80AE-49E5A0073D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F12"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axis="axisRow" showAll="0">
      <items count="9">
        <item x="4"/>
        <item x="0"/>
        <item x="5"/>
        <item x="6"/>
        <item x="7"/>
        <item x="1"/>
        <item x="3"/>
        <item x="2"/>
        <item t="default"/>
      </items>
    </pivotField>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7" item="1" hier="-1"/>
  </pageFields>
  <dataFields count="2">
    <dataField name="Sum of amount" fld="11" baseField="0" baseItem="0"/>
    <dataField name="Count of order_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04B45F-769F-44FC-B71E-9881B82A39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rowPageCount="1" colPageCount="1"/>
  <pivotFields count="16">
    <pivotField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axis="axisRow"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8"/>
  </rowFields>
  <rowItems count="6">
    <i>
      <x v="5"/>
    </i>
    <i>
      <x v="6"/>
    </i>
    <i>
      <x v="7"/>
    </i>
    <i>
      <x v="8"/>
    </i>
    <i>
      <x v="9"/>
    </i>
    <i t="grand">
      <x/>
    </i>
  </rowItems>
  <colItems count="1">
    <i/>
  </colItems>
  <pageFields count="1">
    <pageField fld="7" item="1" hier="-1"/>
  </pageFields>
  <dataFields count="1">
    <dataField name="Sum of amount" fld="11" baseField="0" baseItem="0"/>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5"/>
          </reference>
        </references>
      </pivotArea>
    </chartFormat>
    <chartFormat chart="2" format="2">
      <pivotArea type="data" outline="0" fieldPosition="0">
        <references count="2">
          <reference field="4294967294" count="1" selected="0">
            <x v="0"/>
          </reference>
          <reference field="8" count="1" selected="0">
            <x v="6"/>
          </reference>
        </references>
      </pivotArea>
    </chartFormat>
    <chartFormat chart="2" format="3">
      <pivotArea type="data" outline="0" fieldPosition="0">
        <references count="2">
          <reference field="4294967294" count="1" selected="0">
            <x v="0"/>
          </reference>
          <reference field="8" count="1" selected="0">
            <x v="7"/>
          </reference>
        </references>
      </pivotArea>
    </chartFormat>
    <chartFormat chart="2" format="4">
      <pivotArea type="data" outline="0" fieldPosition="0">
        <references count="2">
          <reference field="4294967294" count="1" selected="0">
            <x v="0"/>
          </reference>
          <reference field="8" count="1" selected="0">
            <x v="8"/>
          </reference>
        </references>
      </pivotArea>
    </chartFormat>
    <chartFormat chart="2" format="5">
      <pivotArea type="data" outline="0" fieldPosition="0">
        <references count="2">
          <reference field="4294967294" count="1" selected="0">
            <x v="0"/>
          </reference>
          <reference field="8" count="1" selected="0">
            <x v="9"/>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8" count="1" selected="0">
            <x v="5"/>
          </reference>
        </references>
      </pivotArea>
    </chartFormat>
    <chartFormat chart="7" format="14">
      <pivotArea type="data" outline="0" fieldPosition="0">
        <references count="2">
          <reference field="4294967294" count="1" selected="0">
            <x v="0"/>
          </reference>
          <reference field="8" count="1" selected="0">
            <x v="6"/>
          </reference>
        </references>
      </pivotArea>
    </chartFormat>
    <chartFormat chart="7" format="15">
      <pivotArea type="data" outline="0" fieldPosition="0">
        <references count="2">
          <reference field="4294967294" count="1" selected="0">
            <x v="0"/>
          </reference>
          <reference field="8" count="1" selected="0">
            <x v="7"/>
          </reference>
        </references>
      </pivotArea>
    </chartFormat>
    <chartFormat chart="7" format="16">
      <pivotArea type="data" outline="0" fieldPosition="0">
        <references count="2">
          <reference field="4294967294" count="1" selected="0">
            <x v="0"/>
          </reference>
          <reference field="8" count="1" selected="0">
            <x v="8"/>
          </reference>
        </references>
      </pivotArea>
    </chartFormat>
    <chartFormat chart="7" format="17">
      <pivotArea type="data" outline="0" fieldPosition="0">
        <references count="2">
          <reference field="4294967294" count="1" selected="0">
            <x v="0"/>
          </reference>
          <reference field="8" count="1" selected="0">
            <x v="9"/>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8" count="1" selected="0">
            <x v="5"/>
          </reference>
        </references>
      </pivotArea>
    </chartFormat>
    <chartFormat chart="9" format="26">
      <pivotArea type="data" outline="0" fieldPosition="0">
        <references count="2">
          <reference field="4294967294" count="1" selected="0">
            <x v="0"/>
          </reference>
          <reference field="8" count="1" selected="0">
            <x v="6"/>
          </reference>
        </references>
      </pivotArea>
    </chartFormat>
    <chartFormat chart="9" format="27">
      <pivotArea type="data" outline="0" fieldPosition="0">
        <references count="2">
          <reference field="4294967294" count="1" selected="0">
            <x v="0"/>
          </reference>
          <reference field="8" count="1" selected="0">
            <x v="7"/>
          </reference>
        </references>
      </pivotArea>
    </chartFormat>
    <chartFormat chart="9" format="28">
      <pivotArea type="data" outline="0" fieldPosition="0">
        <references count="2">
          <reference field="4294967294" count="1" selected="0">
            <x v="0"/>
          </reference>
          <reference field="8" count="1" selected="0">
            <x v="8"/>
          </reference>
        </references>
      </pivotArea>
    </chartFormat>
    <chartFormat chart="9" format="29">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98679C-C664-4013-B8EB-5D5BE960DE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Q8"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axis="axisRow" showAll="0">
      <items count="5">
        <item x="2"/>
        <item x="3"/>
        <item x="0"/>
        <item x="1"/>
        <item t="default"/>
      </items>
    </pivotField>
    <pivotField showAll="0">
      <items count="9">
        <item x="4"/>
        <item x="0"/>
        <item x="5"/>
        <item x="6"/>
        <item x="7"/>
        <item x="1"/>
        <item x="3"/>
        <item x="2"/>
        <item t="default"/>
      </items>
    </pivotField>
    <pivotField showAll="0"/>
  </pivotFields>
  <rowFields count="1">
    <field x="13"/>
  </rowFields>
  <rowItems count="5">
    <i>
      <x/>
    </i>
    <i>
      <x v="1"/>
    </i>
    <i>
      <x v="2"/>
    </i>
    <i>
      <x v="3"/>
    </i>
    <i t="grand">
      <x/>
    </i>
  </rowItems>
  <colFields count="1">
    <field x="-2"/>
  </colFields>
  <colItems count="2">
    <i>
      <x/>
    </i>
    <i i="1">
      <x v="1"/>
    </i>
  </colItems>
  <pageFields count="1">
    <pageField fld="7" item="1" hier="-1"/>
  </pageFields>
  <dataFields count="2">
    <dataField name="Sum of amount" fld="11" baseField="0" baseItem="0"/>
    <dataField name="Count of order_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E90DB4-1B2E-4CA1-8294-191FBCC4E0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M35"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axis="axisRow" showAll="0">
      <items count="32">
        <item x="5"/>
        <item x="27"/>
        <item x="1"/>
        <item x="21"/>
        <item x="6"/>
        <item x="26"/>
        <item x="7"/>
        <item x="25"/>
        <item x="15"/>
        <item x="11"/>
        <item x="22"/>
        <item x="20"/>
        <item x="24"/>
        <item x="8"/>
        <item x="9"/>
        <item x="13"/>
        <item x="19"/>
        <item x="23"/>
        <item x="29"/>
        <item x="30"/>
        <item x="16"/>
        <item x="18"/>
        <item x="4"/>
        <item x="28"/>
        <item x="0"/>
        <item x="14"/>
        <item x="2"/>
        <item x="10"/>
        <item x="3"/>
        <item x="17"/>
        <item x="12"/>
        <item t="default"/>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pageFields count="1">
    <pageField fld="7" item="2" hier="-1"/>
  </pageFields>
  <dataFields count="2">
    <dataField name="Sum of amount" fld="11" baseField="0" baseItem="0"/>
    <dataField name="Count of order_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AD563D-4594-4893-A450-7E14B6E36D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16" firstHeaderRow="1" firstDataRow="1" firstDataCol="1" rowPageCount="1" colPageCount="1"/>
  <pivotFields count="16">
    <pivotField showAll="0"/>
    <pivotField showAll="0"/>
    <pivotField axis="axisRow"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7" item="2" hier="-1"/>
  </pageFields>
  <dataFields count="1">
    <dataField name="Sum of amount" fld="11" baseField="0" baseItem="0"/>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C83B30-B6DF-4DEB-AFE9-FFF419A784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F12"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axis="axisRow" showAll="0">
      <items count="9">
        <item x="4"/>
        <item x="0"/>
        <item x="5"/>
        <item x="6"/>
        <item x="7"/>
        <item x="1"/>
        <item x="3"/>
        <item x="2"/>
        <item t="default"/>
      </items>
    </pivotField>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7" item="2" hier="-1"/>
  </pageFields>
  <dataFields count="2">
    <dataField name="Sum of amount" fld="11" baseField="0" baseItem="0"/>
    <dataField name="Count of order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9E7AC7-970E-4EDB-8243-F7373A4B66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rowPageCount="1" colPageCount="1"/>
  <pivotFields count="16">
    <pivotField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axis="axisRow"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8"/>
  </rowFields>
  <rowItems count="6">
    <i>
      <x v="10"/>
    </i>
    <i>
      <x v="11"/>
    </i>
    <i>
      <x v="12"/>
    </i>
    <i>
      <x v="13"/>
    </i>
    <i>
      <x v="14"/>
    </i>
    <i t="grand">
      <x/>
    </i>
  </rowItems>
  <colItems count="1">
    <i/>
  </colItems>
  <pageFields count="1">
    <pageField fld="7" item="2" hier="-1"/>
  </pageFields>
  <dataFields count="1">
    <dataField name="Sum of amount" fld="11" baseField="0" baseItem="0"/>
  </dataFields>
  <chartFormats count="20">
    <chartFormat chart="2"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8" count="1" selected="0">
            <x v="10"/>
          </reference>
        </references>
      </pivotArea>
    </chartFormat>
    <chartFormat chart="8" format="3">
      <pivotArea type="data" outline="0" fieldPosition="0">
        <references count="2">
          <reference field="4294967294" count="1" selected="0">
            <x v="0"/>
          </reference>
          <reference field="8" count="1" selected="0">
            <x v="11"/>
          </reference>
        </references>
      </pivotArea>
    </chartFormat>
    <chartFormat chart="8" format="4">
      <pivotArea type="data" outline="0" fieldPosition="0">
        <references count="2">
          <reference field="4294967294" count="1" selected="0">
            <x v="0"/>
          </reference>
          <reference field="8" count="1" selected="0">
            <x v="12"/>
          </reference>
        </references>
      </pivotArea>
    </chartFormat>
    <chartFormat chart="8" format="5">
      <pivotArea type="data" outline="0" fieldPosition="0">
        <references count="2">
          <reference field="4294967294" count="1" selected="0">
            <x v="0"/>
          </reference>
          <reference field="8" count="1" selected="0">
            <x v="13"/>
          </reference>
        </references>
      </pivotArea>
    </chartFormat>
    <chartFormat chart="8" format="6">
      <pivotArea type="data" outline="0" fieldPosition="0">
        <references count="2">
          <reference field="4294967294" count="1" selected="0">
            <x v="0"/>
          </reference>
          <reference field="8" count="1" selected="0">
            <x v="1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8" count="1" selected="0">
            <x v="10"/>
          </reference>
        </references>
      </pivotArea>
    </chartFormat>
    <chartFormat chart="9" format="9">
      <pivotArea type="data" outline="0" fieldPosition="0">
        <references count="2">
          <reference field="4294967294" count="1" selected="0">
            <x v="0"/>
          </reference>
          <reference field="8" count="1" selected="0">
            <x v="11"/>
          </reference>
        </references>
      </pivotArea>
    </chartFormat>
    <chartFormat chart="9" format="10">
      <pivotArea type="data" outline="0" fieldPosition="0">
        <references count="2">
          <reference field="4294967294" count="1" selected="0">
            <x v="0"/>
          </reference>
          <reference field="8" count="1" selected="0">
            <x v="12"/>
          </reference>
        </references>
      </pivotArea>
    </chartFormat>
    <chartFormat chart="9" format="11">
      <pivotArea type="data" outline="0" fieldPosition="0">
        <references count="2">
          <reference field="4294967294" count="1" selected="0">
            <x v="0"/>
          </reference>
          <reference field="8" count="1" selected="0">
            <x v="13"/>
          </reference>
        </references>
      </pivotArea>
    </chartFormat>
    <chartFormat chart="9" format="12">
      <pivotArea type="data" outline="0" fieldPosition="0">
        <references count="2">
          <reference field="4294967294" count="1" selected="0">
            <x v="0"/>
          </reference>
          <reference field="8" count="1" selected="0">
            <x v="14"/>
          </reference>
        </references>
      </pivotArea>
    </chartFormat>
    <chartFormat chart="2" format="1">
      <pivotArea type="data" outline="0" fieldPosition="0">
        <references count="2">
          <reference field="4294967294" count="1" selected="0">
            <x v="0"/>
          </reference>
          <reference field="8" count="1" selected="0">
            <x v="10"/>
          </reference>
        </references>
      </pivotArea>
    </chartFormat>
    <chartFormat chart="2" format="2">
      <pivotArea type="data" outline="0" fieldPosition="0">
        <references count="2">
          <reference field="4294967294" count="1" selected="0">
            <x v="0"/>
          </reference>
          <reference field="8" count="1" selected="0">
            <x v="11"/>
          </reference>
        </references>
      </pivotArea>
    </chartFormat>
    <chartFormat chart="2" format="3">
      <pivotArea type="data" outline="0" fieldPosition="0">
        <references count="2">
          <reference field="4294967294" count="1" selected="0">
            <x v="0"/>
          </reference>
          <reference field="8" count="1" selected="0">
            <x v="12"/>
          </reference>
        </references>
      </pivotArea>
    </chartFormat>
    <chartFormat chart="2" format="4">
      <pivotArea type="data" outline="0" fieldPosition="0">
        <references count="2">
          <reference field="4294967294" count="1" selected="0">
            <x v="0"/>
          </reference>
          <reference field="8" count="1" selected="0">
            <x v="13"/>
          </reference>
        </references>
      </pivotArea>
    </chartFormat>
    <chartFormat chart="2" format="5">
      <pivotArea type="data" outline="0" fieldPosition="0">
        <references count="2">
          <reference field="4294967294" count="1" selected="0">
            <x v="0"/>
          </reference>
          <reference field="8" count="1" selected="0">
            <x v="14"/>
          </reference>
        </references>
      </pivotArea>
    </chartFormat>
    <chartFormat chart="2" format="6">
      <pivotArea type="data" outline="0" fieldPosition="0">
        <references count="1">
          <reference field="4294967294" count="1" selected="0">
            <x v="0"/>
          </reference>
        </references>
      </pivotArea>
    </chartFormat>
    <chartFormat chart="9"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50E649-9DE0-4B50-9F63-EA64BCFC83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Q8"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axis="axisRow" showAll="0">
      <items count="5">
        <item x="2"/>
        <item x="3"/>
        <item x="0"/>
        <item x="1"/>
        <item t="default"/>
      </items>
    </pivotField>
    <pivotField showAll="0">
      <items count="9">
        <item x="4"/>
        <item x="0"/>
        <item x="5"/>
        <item x="6"/>
        <item x="7"/>
        <item x="1"/>
        <item x="3"/>
        <item x="2"/>
        <item t="default"/>
      </items>
    </pivotField>
    <pivotField showAll="0"/>
  </pivotFields>
  <rowFields count="1">
    <field x="13"/>
  </rowFields>
  <rowItems count="5">
    <i>
      <x/>
    </i>
    <i>
      <x v="1"/>
    </i>
    <i>
      <x v="2"/>
    </i>
    <i>
      <x v="3"/>
    </i>
    <i t="grand">
      <x/>
    </i>
  </rowItems>
  <colFields count="1">
    <field x="-2"/>
  </colFields>
  <colItems count="2">
    <i>
      <x/>
    </i>
    <i i="1">
      <x v="1"/>
    </i>
  </colItems>
  <pageFields count="1">
    <pageField fld="7" item="2" hier="-1"/>
  </pageFields>
  <dataFields count="2">
    <dataField name="Sum of amount" fld="11" baseField="0" baseItem="0"/>
    <dataField name="Count of order_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58AA4F-13A8-499B-8FAF-C80534634C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9" firstHeaderRow="1" firstDataRow="1" firstDataCol="1" rowPageCount="1" colPageCount="1"/>
  <pivotFields count="16">
    <pivotField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axis="axisRow"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8"/>
  </rowFields>
  <rowItems count="16">
    <i>
      <x/>
    </i>
    <i>
      <x v="1"/>
    </i>
    <i>
      <x v="2"/>
    </i>
    <i>
      <x v="3"/>
    </i>
    <i>
      <x v="4"/>
    </i>
    <i>
      <x v="5"/>
    </i>
    <i>
      <x v="6"/>
    </i>
    <i>
      <x v="7"/>
    </i>
    <i>
      <x v="8"/>
    </i>
    <i>
      <x v="9"/>
    </i>
    <i>
      <x v="10"/>
    </i>
    <i>
      <x v="11"/>
    </i>
    <i>
      <x v="12"/>
    </i>
    <i>
      <x v="13"/>
    </i>
    <i>
      <x v="14"/>
    </i>
    <i t="grand">
      <x/>
    </i>
  </rowItems>
  <colItems count="1">
    <i/>
  </colItems>
  <pageFields count="1">
    <pageField fld="7" hier="-1"/>
  </pageFields>
  <dataFields count="1">
    <dataField name="Sum of amount" fld="11" baseField="0" baseItem="0"/>
  </dataFields>
  <chartFormats count="3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0"/>
          </reference>
        </references>
      </pivotArea>
    </chartFormat>
    <chartFormat chart="10" format="2">
      <pivotArea type="data" outline="0" fieldPosition="0">
        <references count="2">
          <reference field="4294967294" count="1" selected="0">
            <x v="0"/>
          </reference>
          <reference field="8" count="1" selected="0">
            <x v="1"/>
          </reference>
        </references>
      </pivotArea>
    </chartFormat>
    <chartFormat chart="10" format="3">
      <pivotArea type="data" outline="0" fieldPosition="0">
        <references count="2">
          <reference field="4294967294" count="1" selected="0">
            <x v="0"/>
          </reference>
          <reference field="8" count="1" selected="0">
            <x v="2"/>
          </reference>
        </references>
      </pivotArea>
    </chartFormat>
    <chartFormat chart="10" format="4">
      <pivotArea type="data" outline="0" fieldPosition="0">
        <references count="2">
          <reference field="4294967294" count="1" selected="0">
            <x v="0"/>
          </reference>
          <reference field="8" count="1" selected="0">
            <x v="3"/>
          </reference>
        </references>
      </pivotArea>
    </chartFormat>
    <chartFormat chart="10" format="5">
      <pivotArea type="data" outline="0" fieldPosition="0">
        <references count="2">
          <reference field="4294967294" count="1" selected="0">
            <x v="0"/>
          </reference>
          <reference field="8" count="1" selected="0">
            <x v="4"/>
          </reference>
        </references>
      </pivotArea>
    </chartFormat>
    <chartFormat chart="10" format="6">
      <pivotArea type="data" outline="0" fieldPosition="0">
        <references count="2">
          <reference field="4294967294" count="1" selected="0">
            <x v="0"/>
          </reference>
          <reference field="8" count="1" selected="0">
            <x v="5"/>
          </reference>
        </references>
      </pivotArea>
    </chartFormat>
    <chartFormat chart="10" format="7">
      <pivotArea type="data" outline="0" fieldPosition="0">
        <references count="2">
          <reference field="4294967294" count="1" selected="0">
            <x v="0"/>
          </reference>
          <reference field="8" count="1" selected="0">
            <x v="6"/>
          </reference>
        </references>
      </pivotArea>
    </chartFormat>
    <chartFormat chart="10" format="8">
      <pivotArea type="data" outline="0" fieldPosition="0">
        <references count="2">
          <reference field="4294967294" count="1" selected="0">
            <x v="0"/>
          </reference>
          <reference field="8" count="1" selected="0">
            <x v="7"/>
          </reference>
        </references>
      </pivotArea>
    </chartFormat>
    <chartFormat chart="10" format="9">
      <pivotArea type="data" outline="0" fieldPosition="0">
        <references count="2">
          <reference field="4294967294" count="1" selected="0">
            <x v="0"/>
          </reference>
          <reference field="8" count="1" selected="0">
            <x v="8"/>
          </reference>
        </references>
      </pivotArea>
    </chartFormat>
    <chartFormat chart="10" format="10">
      <pivotArea type="data" outline="0" fieldPosition="0">
        <references count="2">
          <reference field="4294967294" count="1" selected="0">
            <x v="0"/>
          </reference>
          <reference field="8" count="1" selected="0">
            <x v="9"/>
          </reference>
        </references>
      </pivotArea>
    </chartFormat>
    <chartFormat chart="10" format="11">
      <pivotArea type="data" outline="0" fieldPosition="0">
        <references count="2">
          <reference field="4294967294" count="1" selected="0">
            <x v="0"/>
          </reference>
          <reference field="8" count="1" selected="0">
            <x v="10"/>
          </reference>
        </references>
      </pivotArea>
    </chartFormat>
    <chartFormat chart="10" format="12">
      <pivotArea type="data" outline="0" fieldPosition="0">
        <references count="2">
          <reference field="4294967294" count="1" selected="0">
            <x v="0"/>
          </reference>
          <reference field="8" count="1" selected="0">
            <x v="11"/>
          </reference>
        </references>
      </pivotArea>
    </chartFormat>
    <chartFormat chart="10" format="13">
      <pivotArea type="data" outline="0" fieldPosition="0">
        <references count="2">
          <reference field="4294967294" count="1" selected="0">
            <x v="0"/>
          </reference>
          <reference field="8" count="1" selected="0">
            <x v="12"/>
          </reference>
        </references>
      </pivotArea>
    </chartFormat>
    <chartFormat chart="10" format="14">
      <pivotArea type="data" outline="0" fieldPosition="0">
        <references count="2">
          <reference field="4294967294" count="1" selected="0">
            <x v="0"/>
          </reference>
          <reference field="8" count="1" selected="0">
            <x v="13"/>
          </reference>
        </references>
      </pivotArea>
    </chartFormat>
    <chartFormat chart="10" format="15">
      <pivotArea type="data" outline="0" fieldPosition="0">
        <references count="2">
          <reference field="4294967294" count="1" selected="0">
            <x v="0"/>
          </reference>
          <reference field="8" count="1" selected="0">
            <x v="14"/>
          </reference>
        </references>
      </pivotArea>
    </chartFormat>
    <chartFormat chart="15" format="32" series="1">
      <pivotArea type="data" outline="0" fieldPosition="0">
        <references count="1">
          <reference field="4294967294" count="1" selected="0">
            <x v="0"/>
          </reference>
        </references>
      </pivotArea>
    </chartFormat>
    <chartFormat chart="15" format="33">
      <pivotArea type="data" outline="0" fieldPosition="0">
        <references count="2">
          <reference field="4294967294" count="1" selected="0">
            <x v="0"/>
          </reference>
          <reference field="8" count="1" selected="0">
            <x v="0"/>
          </reference>
        </references>
      </pivotArea>
    </chartFormat>
    <chartFormat chart="15" format="34">
      <pivotArea type="data" outline="0" fieldPosition="0">
        <references count="2">
          <reference field="4294967294" count="1" selected="0">
            <x v="0"/>
          </reference>
          <reference field="8" count="1" selected="0">
            <x v="1"/>
          </reference>
        </references>
      </pivotArea>
    </chartFormat>
    <chartFormat chart="15" format="35">
      <pivotArea type="data" outline="0" fieldPosition="0">
        <references count="2">
          <reference field="4294967294" count="1" selected="0">
            <x v="0"/>
          </reference>
          <reference field="8" count="1" selected="0">
            <x v="2"/>
          </reference>
        </references>
      </pivotArea>
    </chartFormat>
    <chartFormat chart="15" format="36">
      <pivotArea type="data" outline="0" fieldPosition="0">
        <references count="2">
          <reference field="4294967294" count="1" selected="0">
            <x v="0"/>
          </reference>
          <reference field="8" count="1" selected="0">
            <x v="3"/>
          </reference>
        </references>
      </pivotArea>
    </chartFormat>
    <chartFormat chart="15" format="37">
      <pivotArea type="data" outline="0" fieldPosition="0">
        <references count="2">
          <reference field="4294967294" count="1" selected="0">
            <x v="0"/>
          </reference>
          <reference field="8" count="1" selected="0">
            <x v="4"/>
          </reference>
        </references>
      </pivotArea>
    </chartFormat>
    <chartFormat chart="15" format="38">
      <pivotArea type="data" outline="0" fieldPosition="0">
        <references count="2">
          <reference field="4294967294" count="1" selected="0">
            <x v="0"/>
          </reference>
          <reference field="8" count="1" selected="0">
            <x v="5"/>
          </reference>
        </references>
      </pivotArea>
    </chartFormat>
    <chartFormat chart="15" format="39">
      <pivotArea type="data" outline="0" fieldPosition="0">
        <references count="2">
          <reference field="4294967294" count="1" selected="0">
            <x v="0"/>
          </reference>
          <reference field="8" count="1" selected="0">
            <x v="6"/>
          </reference>
        </references>
      </pivotArea>
    </chartFormat>
    <chartFormat chart="15" format="40">
      <pivotArea type="data" outline="0" fieldPosition="0">
        <references count="2">
          <reference field="4294967294" count="1" selected="0">
            <x v="0"/>
          </reference>
          <reference field="8" count="1" selected="0">
            <x v="7"/>
          </reference>
        </references>
      </pivotArea>
    </chartFormat>
    <chartFormat chart="15" format="41">
      <pivotArea type="data" outline="0" fieldPosition="0">
        <references count="2">
          <reference field="4294967294" count="1" selected="0">
            <x v="0"/>
          </reference>
          <reference field="8" count="1" selected="0">
            <x v="8"/>
          </reference>
        </references>
      </pivotArea>
    </chartFormat>
    <chartFormat chart="15" format="42">
      <pivotArea type="data" outline="0" fieldPosition="0">
        <references count="2">
          <reference field="4294967294" count="1" selected="0">
            <x v="0"/>
          </reference>
          <reference field="8" count="1" selected="0">
            <x v="9"/>
          </reference>
        </references>
      </pivotArea>
    </chartFormat>
    <chartFormat chart="15" format="43">
      <pivotArea type="data" outline="0" fieldPosition="0">
        <references count="2">
          <reference field="4294967294" count="1" selected="0">
            <x v="0"/>
          </reference>
          <reference field="8" count="1" selected="0">
            <x v="10"/>
          </reference>
        </references>
      </pivotArea>
    </chartFormat>
    <chartFormat chart="15" format="44">
      <pivotArea type="data" outline="0" fieldPosition="0">
        <references count="2">
          <reference field="4294967294" count="1" selected="0">
            <x v="0"/>
          </reference>
          <reference field="8" count="1" selected="0">
            <x v="11"/>
          </reference>
        </references>
      </pivotArea>
    </chartFormat>
    <chartFormat chart="15" format="45">
      <pivotArea type="data" outline="0" fieldPosition="0">
        <references count="2">
          <reference field="4294967294" count="1" selected="0">
            <x v="0"/>
          </reference>
          <reference field="8" count="1" selected="0">
            <x v="12"/>
          </reference>
        </references>
      </pivotArea>
    </chartFormat>
    <chartFormat chart="15" format="46">
      <pivotArea type="data" outline="0" fieldPosition="0">
        <references count="2">
          <reference field="4294967294" count="1" selected="0">
            <x v="0"/>
          </reference>
          <reference field="8" count="1" selected="0">
            <x v="13"/>
          </reference>
        </references>
      </pivotArea>
    </chartFormat>
    <chartFormat chart="15" format="47">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18299F-D906-42C3-8C09-FE1CEA5872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Q8"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axis="axisRow" showAll="0">
      <items count="5">
        <item x="2"/>
        <item x="3"/>
        <item x="0"/>
        <item x="1"/>
        <item t="default"/>
      </items>
    </pivotField>
    <pivotField showAll="0">
      <items count="9">
        <item x="4"/>
        <item x="0"/>
        <item x="5"/>
        <item x="6"/>
        <item x="7"/>
        <item x="1"/>
        <item x="3"/>
        <item x="2"/>
        <item t="default"/>
      </items>
    </pivotField>
    <pivotField showAll="0"/>
  </pivotFields>
  <rowFields count="1">
    <field x="13"/>
  </rowFields>
  <rowItems count="5">
    <i>
      <x/>
    </i>
    <i>
      <x v="1"/>
    </i>
    <i>
      <x v="2"/>
    </i>
    <i>
      <x v="3"/>
    </i>
    <i t="grand">
      <x/>
    </i>
  </rowItems>
  <colFields count="1">
    <field x="-2"/>
  </colFields>
  <colItems count="2">
    <i>
      <x/>
    </i>
    <i i="1">
      <x v="1"/>
    </i>
  </colItems>
  <pageFields count="1">
    <pageField fld="7" hier="-1"/>
  </pageFields>
  <dataFields count="2">
    <dataField name="Sum of amount" fld="11" baseField="0" baseItem="0"/>
    <dataField name="Count of order_id" fld="0"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8B3199-F07F-4747-9B4F-C179EE126E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K3:M35" firstHeaderRow="0" firstDataRow="1" firstDataCol="1" rowPageCount="1" colPageCount="1"/>
  <pivotFields count="16">
    <pivotField dataField="1" showAll="0">
      <items count="7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t="default"/>
      </items>
    </pivotField>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axis="axisRow" showAll="0">
      <items count="32">
        <item x="5"/>
        <item x="27"/>
        <item x="1"/>
        <item x="21"/>
        <item x="6"/>
        <item x="26"/>
        <item x="7"/>
        <item x="25"/>
        <item x="15"/>
        <item x="11"/>
        <item x="22"/>
        <item x="20"/>
        <item x="24"/>
        <item x="8"/>
        <item x="9"/>
        <item x="13"/>
        <item x="19"/>
        <item x="23"/>
        <item x="29"/>
        <item x="30"/>
        <item x="16"/>
        <item x="18"/>
        <item x="4"/>
        <item x="28"/>
        <item x="0"/>
        <item x="14"/>
        <item x="2"/>
        <item x="10"/>
        <item x="3"/>
        <item x="17"/>
        <item x="12"/>
        <item t="default"/>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pageFields count="1">
    <pageField fld="7" hier="-1"/>
  </pageFields>
  <dataFields count="2">
    <dataField name="Sum of amount" fld="11" baseField="0" baseItem="0"/>
    <dataField name="Count of order_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97CB7A6-FCF1-447D-85A4-DB30266D01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H3:I16" firstHeaderRow="1" firstDataRow="1" firstDataCol="1" rowPageCount="1" colPageCount="1"/>
  <pivotFields count="16">
    <pivotField showAll="0"/>
    <pivotField showAll="0"/>
    <pivotField axis="axisRow"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showAll="0">
      <items count="9">
        <item x="4"/>
        <item x="0"/>
        <item x="5"/>
        <item x="6"/>
        <item x="7"/>
        <item x="1"/>
        <item x="3"/>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7" hier="-1"/>
  </pageFields>
  <dataFields count="1">
    <dataField name="Sum of amount" fld="11" baseField="0" baseItem="0"/>
  </dataFields>
  <chartFormats count="2">
    <chartFormat chart="2"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791D107-819C-4AD7-86C7-C3716F773B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F12" firstHeaderRow="0" firstDataRow="1" firstDataCol="1" rowPageCount="1" colPageCount="1"/>
  <pivotFields count="16">
    <pivotField dataField="1" showAll="0"/>
    <pivotField showAll="0"/>
    <pivotField showAll="0">
      <items count="13">
        <item x="3"/>
        <item x="5"/>
        <item x="0"/>
        <item x="1"/>
        <item x="7"/>
        <item x="8"/>
        <item x="6"/>
        <item x="10"/>
        <item x="11"/>
        <item x="9"/>
        <item x="2"/>
        <item x="4"/>
        <item t="default"/>
      </items>
    </pivotField>
    <pivotField showAll="0"/>
    <pivotField showAll="0"/>
    <pivotField showAll="0"/>
    <pivotField showAll="0">
      <items count="4">
        <item x="2"/>
        <item x="1"/>
        <item x="0"/>
        <item t="default"/>
      </items>
    </pivotField>
    <pivotField axis="axisPage" showAll="0">
      <items count="4">
        <item x="1"/>
        <item x="0"/>
        <item x="2"/>
        <item t="default"/>
      </items>
    </pivotField>
    <pivotField showAll="0">
      <items count="16">
        <item x="2"/>
        <item x="1"/>
        <item x="4"/>
        <item x="14"/>
        <item x="13"/>
        <item x="6"/>
        <item x="3"/>
        <item x="9"/>
        <item x="0"/>
        <item x="10"/>
        <item x="7"/>
        <item x="11"/>
        <item x="5"/>
        <item x="8"/>
        <item x="12"/>
        <item t="default"/>
      </items>
    </pivotField>
    <pivotField showAll="0"/>
    <pivotField showAll="0"/>
    <pivotField dataField="1" showAll="0"/>
    <pivotField showAll="0">
      <items count="6">
        <item x="2"/>
        <item x="3"/>
        <item x="1"/>
        <item x="0"/>
        <item x="4"/>
        <item t="default"/>
      </items>
    </pivotField>
    <pivotField showAll="0">
      <items count="5">
        <item x="2"/>
        <item x="3"/>
        <item x="0"/>
        <item x="1"/>
        <item t="default"/>
      </items>
    </pivotField>
    <pivotField axis="axisRow" showAll="0">
      <items count="9">
        <item x="4"/>
        <item x="0"/>
        <item x="5"/>
        <item x="6"/>
        <item x="7"/>
        <item x="1"/>
        <item x="3"/>
        <item x="2"/>
        <item t="default"/>
      </items>
    </pivotField>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7" hier="-1"/>
  </pageFields>
  <dataFields count="2">
    <dataField name="Sum of amount" fld="11" baseField="0" baseItem="0"/>
    <dataField name="Count of order_id" fld="0" subtotal="count" baseField="0" baseItem="0"/>
  </dataField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4"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4DDA0E-9541-4EC1-B54D-F1CDBF2BFC77}" sourceName="month">
  <pivotTables>
    <pivotTable tabId="3" name="PivotTable1"/>
    <pivotTable tabId="3" name="PivotTable2"/>
    <pivotTable tabId="3" name="PivotTable3"/>
    <pivotTable tabId="3" name="PivotTable4"/>
    <pivotTable tabId="3" name="PivotTable5"/>
    <pivotTable tabId="2" name="PivotTable1"/>
    <pivotTable tabId="2" name="PivotTable2"/>
    <pivotTable tabId="2" name="PivotTable3"/>
    <pivotTable tabId="2" name="PivotTable4"/>
    <pivotTable tabId="2"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s>
  <data>
    <tabular pivotCacheId="229798305">
      <items count="12">
        <i x="3" s="1"/>
        <i x="5" s="1"/>
        <i x="0" s="1"/>
        <i x="1" s="1"/>
        <i x="7" s="1"/>
        <i x="8" s="1"/>
        <i x="6" s="1"/>
        <i x="10" s="1"/>
        <i x="11" s="1"/>
        <i x="9"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DB77A160-EB8E-4D21-9E03-BCE6E8A72330}" sourceName="seller">
  <pivotTables>
    <pivotTable tabId="2" name="PivotTable1"/>
    <pivotTable tabId="2" name="PivotTable2"/>
    <pivotTable tabId="2" name="PivotTable3"/>
    <pivotTable tabId="2" name="PivotTable4"/>
    <pivotTable tabId="2" name="PivotTable5"/>
    <pivotTable tabId="3" name="PivotTable1"/>
    <pivotTable tabId="3" name="PivotTable2"/>
    <pivotTable tabId="3" name="PivotTable3"/>
    <pivotTable tabId="3" name="PivotTable4"/>
    <pivotTable tabId="3"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s>
  <data>
    <tabular pivotCacheId="22979830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560B28-A1DE-4FBE-B7EC-7587D62FA43B}" sourceName="product">
  <pivotTables>
    <pivotTable tabId="2" name="PivotTable1"/>
    <pivotTable tabId="2" name="PivotTable2"/>
    <pivotTable tabId="2" name="PivotTable3"/>
    <pivotTable tabId="2" name="PivotTable4"/>
    <pivotTable tabId="2" name="PivotTable5"/>
    <pivotTable tabId="3" name="PivotTable1"/>
    <pivotTable tabId="3" name="PivotTable2"/>
    <pivotTable tabId="3" name="PivotTable3"/>
    <pivotTable tabId="3" name="PivotTable4"/>
    <pivotTable tabId="3"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s>
  <data>
    <tabular pivotCacheId="229798305">
      <items count="15">
        <i x="2" s="1"/>
        <i x="1" s="1"/>
        <i x="4" s="1"/>
        <i x="14" s="1"/>
        <i x="13" s="1"/>
        <i x="6" s="1"/>
        <i x="3" s="1"/>
        <i x="9" s="1"/>
        <i x="0" s="1"/>
        <i x="10" s="1"/>
        <i x="7" s="1"/>
        <i x="11" s="1"/>
        <i x="5" s="1"/>
        <i x="8"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4E5A0D2-8B87-4588-AE1C-8708B953F9BB}" sourceName="payment_mode">
  <pivotTables>
    <pivotTable tabId="2" name="PivotTable1"/>
    <pivotTable tabId="2" name="PivotTable2"/>
    <pivotTable tabId="2" name="PivotTable3"/>
    <pivotTable tabId="2" name="PivotTable4"/>
    <pivotTable tabId="2" name="PivotTable5"/>
    <pivotTable tabId="3" name="PivotTable1"/>
    <pivotTable tabId="3" name="PivotTable2"/>
    <pivotTable tabId="3" name="PivotTable3"/>
    <pivotTable tabId="3" name="PivotTable4"/>
    <pivotTable tabId="3"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s>
  <data>
    <tabular pivotCacheId="229798305">
      <items count="5">
        <i x="2" s="1"/>
        <i x="3"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4B871569-2BAC-4D5F-AD65-CD66D17FD444}" sourceName="customer_location">
  <pivotTables>
    <pivotTable tabId="2" name="PivotTable3"/>
    <pivotTable tabId="2" name="PivotTable4"/>
    <pivotTable tabId="2" name="PivotTable5"/>
    <pivotTable tabId="3" name="PivotTable1"/>
    <pivotTable tabId="3" name="PivotTable2"/>
    <pivotTable tabId="3" name="PivotTable3"/>
    <pivotTable tabId="3" name="PivotTable4"/>
    <pivotTable tabId="3"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2" name="PivotTable1"/>
    <pivotTable tabId="2" name="PivotTable2"/>
  </pivotTables>
  <data>
    <tabular pivotCacheId="229798305">
      <items count="8">
        <i x="4" s="1"/>
        <i x="0" s="1"/>
        <i x="5" s="1"/>
        <i x="6" s="1"/>
        <i x="7"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95291E0-8453-4D4F-A2AD-3590D54E2F99}" sourceName="delivery_status">
  <pivotTables>
    <pivotTable tabId="2" name="PivotTable1"/>
    <pivotTable tabId="2" name="PivotTable2"/>
    <pivotTable tabId="2" name="PivotTable3"/>
    <pivotTable tabId="2" name="PivotTable4"/>
    <pivotTable tabId="2" name="PivotTable5"/>
    <pivotTable tabId="3" name="PivotTable1"/>
    <pivotTable tabId="3" name="PivotTable2"/>
    <pivotTable tabId="3" name="PivotTable3"/>
    <pivotTable tabId="3" name="PivotTable4"/>
    <pivotTable tabId="3" name="PivotTable5"/>
    <pivotTable tabId="4" name="PivotTable10"/>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s>
  <data>
    <tabular pivotCacheId="22979830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24A7141-1335-4C51-BB10-E96441695C0F}" cache="Slicer_month" caption="month" style="SlicerStyleDark2" rowHeight="504000"/>
  <slicer name="seller 2" xr10:uid="{3CEAACA3-DC07-4F46-BF89-E7430D117581}" cache="Slicer_seller" caption="seller" style="SlicerStyleDark2" rowHeight="504000"/>
  <slicer name="product 2" xr10:uid="{B652C59C-510D-4133-89A3-A3523913088A}" cache="Slicer_product" caption="product" style="SlicerStyleDark2" rowHeight="720000"/>
  <slicer name="payment_mode 2" xr10:uid="{016BD6FE-B37E-4292-B33D-B81C3A6CD5F3}" cache="Slicer_payment_mode" caption="payment_mode" style="SlicerStyleDark2" rowHeight="756000"/>
  <slicer name="customer_location 2" xr10:uid="{0D14B96B-2A14-43B7-B515-490C243244C0}" cache="Slicer_customer_location" caption="customer_location" style="SlicerStyleDark2" rowHeight="792000"/>
  <slicer name="delivery_status 2" xr10:uid="{77954BC1-B502-454F-B0F2-73D5F6806078}" cache="Slicer_delivery_status" caption="delivery_status" style="SlicerStyleDark2"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64262935-C607-403F-B016-3AC5C09D243C}" cache="Slicer_month" caption="month" style="SlicerStyleDark2" rowHeight="504000"/>
  <slicer name="seller 3" xr10:uid="{CB274FF3-26B0-4D90-8303-492741219D6C}" cache="Slicer_seller" caption="seller" style="SlicerStyleDark2" rowHeight="504000"/>
  <slicer name="product 3" xr10:uid="{3041F998-AFCD-4A50-9089-E49A2C8E2A99}" cache="Slicer_product" caption="product" style="SlicerStyleDark2" rowHeight="720000"/>
  <slicer name="payment_mode 3" xr10:uid="{76F7917C-61C0-49DE-902B-1532DDF0AFF6}" cache="Slicer_payment_mode" caption="payment_mode" style="SlicerStyleDark2" rowHeight="756000"/>
  <slicer name="customer_location 3" xr10:uid="{E75B5472-5127-4D8A-8EC1-AF1279F90578}" cache="Slicer_customer_location" caption="customer_location" style="SlicerStyleDark2" rowHeight="792000"/>
  <slicer name="delivery_status 3" xr10:uid="{D150E1FA-87BD-4BF7-B66B-F146FCD14D15}" cache="Slicer_delivery_status" caption="delivery_status" style="SlicerStyleDark2"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BD3302AF-8E4E-45D5-8029-9E7BF0BC0BE8}" cache="Slicer_month" caption="month" style="SlicerStyleDark2" rowHeight="504000"/>
  <slicer name="seller 5" xr10:uid="{65B27875-B21D-4925-9BA7-7ADDD35056AA}" cache="Slicer_seller" caption="seller" style="SlicerStyleDark2" rowHeight="504000"/>
  <slicer name="product 5" xr10:uid="{4627A17F-4F57-426D-A2B8-EBA6AEB16C21}" cache="Slicer_product" caption="product" style="SlicerStyleDark2" rowHeight="720000"/>
  <slicer name="payment_mode 5" xr10:uid="{BADD0AEF-4FD7-49C4-8581-2E8122AD620A}" cache="Slicer_payment_mode" caption="payment_mode" style="SlicerStyleDark2" rowHeight="756000"/>
  <slicer name="customer_location 5" xr10:uid="{CFD2811E-F7C4-43B3-BA8C-D6838095DF59}" cache="Slicer_customer_location" caption="customer_location" style="SlicerStyleDark2" rowHeight="792000"/>
  <slicer name="delivery_status 5" xr10:uid="{5D032EFC-A808-4201-882B-B4449D4CF8A6}" cache="Slicer_delivery_status" caption="delivery_status" style="SlicerStyleDark2" rowHeight="50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805F374E-9928-4B4F-8D17-734AB912A1A2}" cache="Slicer_month" caption="month" style="SlicerStyleDark2" rowHeight="504000"/>
  <slicer name="seller 4" xr10:uid="{A1DDEC89-6CF3-489F-AB36-B21F1A518C8F}" cache="Slicer_seller" caption="seller" style="SlicerStyleDark2" rowHeight="504000"/>
  <slicer name="product 4" xr10:uid="{A25025B8-64B5-42BE-8D66-E9CA221D2DFB}" cache="Slicer_product" caption="product" style="SlicerStyleDark2" rowHeight="720000"/>
  <slicer name="payment_mode 4" xr10:uid="{B06249EB-3AA4-4D9D-A991-9E974DF97E21}" cache="Slicer_payment_mode" caption="payment_mode" style="SlicerStyleDark2" rowHeight="756000"/>
  <slicer name="customer_location 4" xr10:uid="{128B939D-842F-4CDE-80DF-5C0EF62CA0D2}" cache="Slicer_customer_location" caption="customer_location" style="SlicerStyleDark2" rowHeight="792000"/>
  <slicer name="delivery_status 4" xr10:uid="{CEBA356D-B021-4237-A124-FE6B7BE2CBB0}" cache="Slicer_delivery_status" caption="delivery_status" style="SlicerStyleDark2" rowHeight="50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DFBC669-29FD-4940-A15A-8F82792EDBC4}" cache="Slicer_month" caption="month" style="SlicerStyleDark2" rowHeight="234950"/>
  <slicer name="seller 1" xr10:uid="{E741662E-031C-439F-A7A6-38DEE077A499}" cache="Slicer_seller" caption="seller" style="SlicerStyleDark2" rowHeight="234950"/>
  <slicer name="product 1" xr10:uid="{1722DCE6-CD12-417D-B2BA-98926383B566}" cache="Slicer_product" caption="product" style="SlicerStyleDark2" rowHeight="234950"/>
  <slicer name="payment_mode 1" xr10:uid="{97032871-AD00-4877-AF22-3FBE48E85CB0}" cache="Slicer_payment_mode" caption="payment_mode" style="SlicerStyleDark2" rowHeight="234950"/>
  <slicer name="customer_location 1" xr10:uid="{A4D3B51D-DA5C-4A01-835F-7AD3A377E2B3}" cache="Slicer_customer_location" caption="customer_location" style="SlicerStyleDark2" rowHeight="234950"/>
  <slicer name="delivery_status 1" xr10:uid="{55E3CD9E-9B46-40AE-834C-3BB5AF48FB06}" cache="Slicer_delivery_status" caption="delivery_status" style="SlicerStyleDark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C72E47B-11D5-4F64-958A-25ED9EFFB6EF}" cache="Slicer_month" caption="month" style="SlicerStyleDark2" rowHeight="234950"/>
  <slicer name="seller" xr10:uid="{40991441-67D9-4909-8CDD-27869B571A3C}" cache="Slicer_seller" caption="seller" style="SlicerStyleDark2" rowHeight="234950"/>
  <slicer name="product" xr10:uid="{B6C3EA6B-3A67-46E3-A0E7-91CAB3DCBF49}" cache="Slicer_product" caption="product" style="SlicerStyleDark2" rowHeight="234950"/>
  <slicer name="payment_mode" xr10:uid="{E08EF65A-5C79-4202-A9AE-89CF3F425F60}" cache="Slicer_payment_mode" caption="payment_mode" style="SlicerStyleDark2" rowHeight="234950"/>
  <slicer name="customer_location" xr10:uid="{12FE2427-082E-4A9F-98B2-B8FD3E6804B0}" cache="Slicer_customer_location" caption="customer_location" style="SlicerStyleDark2" rowHeight="234950"/>
  <slicer name="delivery_status" xr10:uid="{68E201ED-19EB-4155-8C2B-BA801AD491C7}" cache="Slicer_delivery_status" caption="delivery_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123BC-09B9-46DA-8C52-88BE63A727BE}" name="Table1" displayName="Table1" ref="A1:P701" totalsRowShown="0" headerRowDxfId="2" headerRowBorderDxfId="1" tableBorderDxfId="0">
  <autoFilter ref="A1:P701" xr:uid="{1AE123BC-09B9-46DA-8C52-88BE63A727BE}"/>
  <tableColumns count="16">
    <tableColumn id="1" xr3:uid="{68D01626-7EED-4E16-9D34-5B98514C0015}" name="order_id"/>
    <tableColumn id="2" xr3:uid="{50640760-6EB9-4A67-BAAC-8081E7AC9430}" name="order_date"/>
    <tableColumn id="3" xr3:uid="{22EB67E3-308C-4E3F-BFAE-97AC1C59D567}" name="month">
      <calculatedColumnFormula>TEXT(B2,"MMMM")</calculatedColumnFormula>
    </tableColumn>
    <tableColumn id="4" xr3:uid="{E4D51C57-6E7A-499F-8125-0E720F1443F1}" name="year">
      <calculatedColumnFormula>YEAR(B2)</calculatedColumnFormula>
    </tableColumn>
    <tableColumn id="5" xr3:uid="{118FF0E1-2081-400F-A88C-076FE8F14D4B}" name="cust_id"/>
    <tableColumn id="6" xr3:uid="{650F94C4-D2C0-4894-971F-D2FE5F4DAD83}" name="cust_name"/>
    <tableColumn id="7" xr3:uid="{64C5E622-FFE0-4B1F-B6B0-A35825C3BB8E}" name="seller"/>
    <tableColumn id="8" xr3:uid="{10F6090D-73D7-4DEE-A5DC-E8B807E612F9}" name="brand"/>
    <tableColumn id="9" xr3:uid="{8CEE4560-38EF-4645-9D3D-A7B93EBE8D1B}" name="product"/>
    <tableColumn id="10" xr3:uid="{FB087E9C-37C1-4B2D-A6E7-356404AA86B9}" name="price"/>
    <tableColumn id="11" xr3:uid="{A88EC7AC-FB03-49A8-A12C-C4CAF1149452}" name="quantity"/>
    <tableColumn id="12" xr3:uid="{8D9EAB50-F091-444E-9B54-D68CF24ACE47}" name="amount"/>
    <tableColumn id="13" xr3:uid="{FCB35D47-6AEE-4481-A2E1-6AE93E6603AF}" name="payment_mode"/>
    <tableColumn id="14" xr3:uid="{B4F3CB32-9712-4696-AF10-5FF76195E901}" name="delivery_status"/>
    <tableColumn id="15" xr3:uid="{5ACAE0BE-E0E7-48EF-9E08-C2FEC2C0417B}" name="customer_location"/>
    <tableColumn id="16" xr3:uid="{128EC5D2-77E7-402E-91DF-6429BB4A7D7B}" name="dis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7.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microsoft.com/office/2007/relationships/slicer" Target="../slicers/slicer6.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8.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CED1-DF1A-4AC2-9912-DBA53356B4D8}">
  <dimension ref="A1"/>
  <sheetViews>
    <sheetView zoomScale="52" zoomScaleNormal="5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2B1E5-E295-4F25-9806-7C1E9D821BA4}">
  <dimension ref="A1"/>
  <sheetViews>
    <sheetView zoomScale="40" zoomScaleNormal="7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160F-EAFA-4347-8493-C9C7B9EDBCD3}">
  <dimension ref="A1"/>
  <sheetViews>
    <sheetView zoomScale="56" zoomScaleNormal="7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7508-4C1B-4D63-90D0-B67962B3DD08}">
  <dimension ref="A1"/>
  <sheetViews>
    <sheetView tabSelected="1" zoomScale="53" zoomScaleNormal="7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8B5A-E7F4-4497-BB30-D6F691D9A3D5}">
  <dimension ref="A1:P701"/>
  <sheetViews>
    <sheetView topLeftCell="A2" workbookViewId="0">
      <selection activeCell="P2" sqref="P2"/>
    </sheetView>
  </sheetViews>
  <sheetFormatPr defaultRowHeight="14.4" x14ac:dyDescent="0.3"/>
  <cols>
    <col min="1" max="1" width="12.5546875" bestFit="1" customWidth="1"/>
    <col min="2" max="2" width="14.77734375" bestFit="1" customWidth="1"/>
    <col min="3" max="3" width="11.109375" bestFit="1" customWidth="1"/>
    <col min="4" max="4" width="9.109375" bestFit="1" customWidth="1"/>
    <col min="5" max="5" width="11.44140625" bestFit="1" customWidth="1"/>
    <col min="6" max="6" width="14.6640625" bestFit="1" customWidth="1"/>
    <col min="7" max="7" width="11" bestFit="1" customWidth="1"/>
    <col min="8" max="8" width="10.44140625" bestFit="1" customWidth="1"/>
    <col min="9" max="9" width="16.109375" bestFit="1" customWidth="1"/>
    <col min="10" max="10" width="9.5546875" bestFit="1" customWidth="1"/>
    <col min="11" max="11" width="12.5546875" bestFit="1" customWidth="1"/>
    <col min="12" max="12" width="12.109375" bestFit="1" customWidth="1"/>
    <col min="13" max="13" width="19" bestFit="1" customWidth="1"/>
    <col min="14" max="14" width="18.21875" bestFit="1" customWidth="1"/>
    <col min="15" max="15" width="21.21875" bestFit="1" customWidth="1"/>
    <col min="16" max="16" width="15.4414062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tr">
        <f>TEXT(B2,"MMMM")</f>
        <v>March</v>
      </c>
      <c r="D2">
        <f>YEAR(B2)</f>
        <v>2025</v>
      </c>
      <c r="E2" t="s">
        <v>18</v>
      </c>
      <c r="F2" t="s">
        <v>19</v>
      </c>
      <c r="G2" t="s">
        <v>20</v>
      </c>
      <c r="H2" t="s">
        <v>21</v>
      </c>
      <c r="I2" t="s">
        <v>22</v>
      </c>
      <c r="J2">
        <v>884</v>
      </c>
      <c r="K2">
        <v>2</v>
      </c>
      <c r="L2">
        <v>1768</v>
      </c>
      <c r="M2" t="s">
        <v>23</v>
      </c>
      <c r="N2" t="s">
        <v>24</v>
      </c>
      <c r="O2" t="s">
        <v>25</v>
      </c>
      <c r="P2">
        <v>24</v>
      </c>
    </row>
    <row r="3" spans="1:16" x14ac:dyDescent="0.3">
      <c r="A3" t="s">
        <v>26</v>
      </c>
      <c r="B3" t="s">
        <v>27</v>
      </c>
      <c r="C3" t="str">
        <f t="shared" ref="C3:C66" si="0">TEXT(B3,"MMMM")</f>
        <v>April</v>
      </c>
      <c r="D3">
        <f t="shared" ref="D3:D66" si="1">YEAR(B3)</f>
        <v>2025</v>
      </c>
      <c r="E3" t="s">
        <v>28</v>
      </c>
      <c r="F3" t="s">
        <v>29</v>
      </c>
      <c r="G3" t="s">
        <v>20</v>
      </c>
      <c r="H3" t="s">
        <v>21</v>
      </c>
      <c r="I3" t="s">
        <v>22</v>
      </c>
      <c r="J3">
        <v>1208</v>
      </c>
      <c r="K3">
        <v>3</v>
      </c>
      <c r="L3">
        <v>3624</v>
      </c>
      <c r="M3" t="s">
        <v>30</v>
      </c>
      <c r="N3" t="s">
        <v>31</v>
      </c>
      <c r="O3" t="s">
        <v>32</v>
      </c>
      <c r="P3">
        <v>2</v>
      </c>
    </row>
    <row r="4" spans="1:16" x14ac:dyDescent="0.3">
      <c r="A4" t="s">
        <v>33</v>
      </c>
      <c r="B4" t="s">
        <v>34</v>
      </c>
      <c r="C4" t="str">
        <f t="shared" si="0"/>
        <v>November</v>
      </c>
      <c r="D4">
        <f t="shared" si="1"/>
        <v>2024</v>
      </c>
      <c r="E4" t="s">
        <v>35</v>
      </c>
      <c r="F4" t="s">
        <v>36</v>
      </c>
      <c r="G4" t="s">
        <v>37</v>
      </c>
      <c r="H4" t="s">
        <v>38</v>
      </c>
      <c r="I4" t="s">
        <v>39</v>
      </c>
      <c r="J4">
        <v>975</v>
      </c>
      <c r="K4">
        <v>1</v>
      </c>
      <c r="L4">
        <v>975</v>
      </c>
      <c r="M4" t="s">
        <v>30</v>
      </c>
      <c r="N4" t="s">
        <v>40</v>
      </c>
      <c r="O4" t="s">
        <v>41</v>
      </c>
      <c r="P4">
        <v>26</v>
      </c>
    </row>
    <row r="5" spans="1:16" x14ac:dyDescent="0.3">
      <c r="A5" t="s">
        <v>42</v>
      </c>
      <c r="B5" t="s">
        <v>43</v>
      </c>
      <c r="C5" t="str">
        <f t="shared" si="0"/>
        <v>January</v>
      </c>
      <c r="D5">
        <f t="shared" si="1"/>
        <v>2024</v>
      </c>
      <c r="E5" t="s">
        <v>44</v>
      </c>
      <c r="F5" t="s">
        <v>45</v>
      </c>
      <c r="G5" t="s">
        <v>46</v>
      </c>
      <c r="H5" t="s">
        <v>38</v>
      </c>
      <c r="I5" t="s">
        <v>47</v>
      </c>
      <c r="J5">
        <v>1219</v>
      </c>
      <c r="K5">
        <v>1</v>
      </c>
      <c r="L5">
        <v>1219</v>
      </c>
      <c r="M5" t="s">
        <v>23</v>
      </c>
      <c r="N5" t="s">
        <v>48</v>
      </c>
      <c r="O5" t="s">
        <v>25</v>
      </c>
      <c r="P5">
        <v>28</v>
      </c>
    </row>
    <row r="6" spans="1:16" x14ac:dyDescent="0.3">
      <c r="A6" t="s">
        <v>49</v>
      </c>
      <c r="B6" t="s">
        <v>50</v>
      </c>
      <c r="C6" t="str">
        <f t="shared" si="0"/>
        <v>November</v>
      </c>
      <c r="D6">
        <f t="shared" si="1"/>
        <v>2024</v>
      </c>
      <c r="E6" t="s">
        <v>51</v>
      </c>
      <c r="F6" t="s">
        <v>52</v>
      </c>
      <c r="G6" t="s">
        <v>20</v>
      </c>
      <c r="H6" t="s">
        <v>21</v>
      </c>
      <c r="I6" t="s">
        <v>53</v>
      </c>
      <c r="J6">
        <v>971</v>
      </c>
      <c r="K6">
        <v>4</v>
      </c>
      <c r="L6">
        <v>3884</v>
      </c>
      <c r="M6" t="s">
        <v>54</v>
      </c>
      <c r="N6" t="s">
        <v>40</v>
      </c>
      <c r="O6" t="s">
        <v>55</v>
      </c>
      <c r="P6">
        <v>22</v>
      </c>
    </row>
    <row r="7" spans="1:16" x14ac:dyDescent="0.3">
      <c r="A7" t="s">
        <v>56</v>
      </c>
      <c r="B7" t="s">
        <v>57</v>
      </c>
      <c r="C7" t="str">
        <f t="shared" si="0"/>
        <v>December</v>
      </c>
      <c r="D7">
        <f t="shared" si="1"/>
        <v>2024</v>
      </c>
      <c r="E7" t="s">
        <v>58</v>
      </c>
      <c r="F7" t="s">
        <v>59</v>
      </c>
      <c r="G7" t="s">
        <v>20</v>
      </c>
      <c r="H7" t="s">
        <v>38</v>
      </c>
      <c r="I7" t="s">
        <v>60</v>
      </c>
      <c r="J7">
        <v>1184</v>
      </c>
      <c r="K7">
        <v>3</v>
      </c>
      <c r="L7">
        <v>3552</v>
      </c>
      <c r="M7" t="s">
        <v>61</v>
      </c>
      <c r="N7" t="s">
        <v>40</v>
      </c>
      <c r="O7" t="s">
        <v>62</v>
      </c>
      <c r="P7">
        <v>0</v>
      </c>
    </row>
    <row r="8" spans="1:16" x14ac:dyDescent="0.3">
      <c r="A8" t="s">
        <v>63</v>
      </c>
      <c r="B8" t="s">
        <v>64</v>
      </c>
      <c r="C8" t="str">
        <f t="shared" si="0"/>
        <v>November</v>
      </c>
      <c r="D8">
        <f t="shared" si="1"/>
        <v>2024</v>
      </c>
      <c r="E8" t="s">
        <v>65</v>
      </c>
      <c r="F8" t="s">
        <v>66</v>
      </c>
      <c r="G8" t="s">
        <v>20</v>
      </c>
      <c r="H8" t="s">
        <v>38</v>
      </c>
      <c r="I8" t="s">
        <v>60</v>
      </c>
      <c r="J8">
        <v>830</v>
      </c>
      <c r="K8">
        <v>3</v>
      </c>
      <c r="L8">
        <v>2490</v>
      </c>
      <c r="M8" t="s">
        <v>23</v>
      </c>
      <c r="N8" t="s">
        <v>40</v>
      </c>
      <c r="O8" t="s">
        <v>62</v>
      </c>
      <c r="P8">
        <v>26</v>
      </c>
    </row>
    <row r="9" spans="1:16" x14ac:dyDescent="0.3">
      <c r="A9" t="s">
        <v>67</v>
      </c>
      <c r="B9" t="s">
        <v>68</v>
      </c>
      <c r="C9" t="str">
        <f t="shared" si="0"/>
        <v>December</v>
      </c>
      <c r="D9">
        <f t="shared" si="1"/>
        <v>2024</v>
      </c>
      <c r="E9" t="s">
        <v>69</v>
      </c>
      <c r="F9" t="s">
        <v>70</v>
      </c>
      <c r="G9" t="s">
        <v>37</v>
      </c>
      <c r="H9" t="s">
        <v>71</v>
      </c>
      <c r="I9" t="s">
        <v>72</v>
      </c>
      <c r="J9">
        <v>237</v>
      </c>
      <c r="K9">
        <v>2</v>
      </c>
      <c r="L9">
        <v>474</v>
      </c>
      <c r="M9" t="s">
        <v>61</v>
      </c>
      <c r="N9" t="s">
        <v>24</v>
      </c>
      <c r="O9" t="s">
        <v>41</v>
      </c>
      <c r="P9">
        <v>4</v>
      </c>
    </row>
    <row r="10" spans="1:16" x14ac:dyDescent="0.3">
      <c r="A10" t="s">
        <v>73</v>
      </c>
      <c r="B10" t="s">
        <v>74</v>
      </c>
      <c r="C10" t="str">
        <f t="shared" si="0"/>
        <v>April</v>
      </c>
      <c r="D10">
        <f t="shared" si="1"/>
        <v>2025</v>
      </c>
      <c r="E10" t="s">
        <v>75</v>
      </c>
      <c r="F10" t="s">
        <v>76</v>
      </c>
      <c r="G10" t="s">
        <v>46</v>
      </c>
      <c r="H10" t="s">
        <v>21</v>
      </c>
      <c r="I10" t="s">
        <v>77</v>
      </c>
      <c r="J10">
        <v>339</v>
      </c>
      <c r="K10">
        <v>2</v>
      </c>
      <c r="L10">
        <v>678</v>
      </c>
      <c r="M10" t="s">
        <v>54</v>
      </c>
      <c r="N10" t="s">
        <v>24</v>
      </c>
      <c r="O10" t="s">
        <v>78</v>
      </c>
      <c r="P10">
        <v>6</v>
      </c>
    </row>
    <row r="11" spans="1:16" x14ac:dyDescent="0.3">
      <c r="A11" t="s">
        <v>79</v>
      </c>
      <c r="B11" t="s">
        <v>80</v>
      </c>
      <c r="C11" t="str">
        <f t="shared" si="0"/>
        <v>November</v>
      </c>
      <c r="D11">
        <f t="shared" si="1"/>
        <v>2024</v>
      </c>
      <c r="E11" t="s">
        <v>81</v>
      </c>
      <c r="F11" t="s">
        <v>82</v>
      </c>
      <c r="G11" t="s">
        <v>46</v>
      </c>
      <c r="H11" t="s">
        <v>71</v>
      </c>
      <c r="I11" t="s">
        <v>83</v>
      </c>
      <c r="J11">
        <v>1135</v>
      </c>
      <c r="K11">
        <v>1</v>
      </c>
      <c r="L11">
        <v>1135</v>
      </c>
      <c r="M11" t="s">
        <v>54</v>
      </c>
      <c r="N11" t="s">
        <v>24</v>
      </c>
      <c r="O11" t="s">
        <v>84</v>
      </c>
      <c r="P11">
        <v>13</v>
      </c>
    </row>
    <row r="12" spans="1:16" x14ac:dyDescent="0.3">
      <c r="A12" t="s">
        <v>85</v>
      </c>
      <c r="B12" t="s">
        <v>86</v>
      </c>
      <c r="C12" t="str">
        <f t="shared" si="0"/>
        <v>February</v>
      </c>
      <c r="D12">
        <f t="shared" si="1"/>
        <v>2025</v>
      </c>
      <c r="E12" t="s">
        <v>87</v>
      </c>
      <c r="F12" t="s">
        <v>88</v>
      </c>
      <c r="G12" t="s">
        <v>20</v>
      </c>
      <c r="H12" t="s">
        <v>38</v>
      </c>
      <c r="I12" t="s">
        <v>39</v>
      </c>
      <c r="J12">
        <v>1309</v>
      </c>
      <c r="K12">
        <v>3</v>
      </c>
      <c r="L12">
        <v>3927</v>
      </c>
      <c r="M12" t="s">
        <v>30</v>
      </c>
      <c r="N12" t="s">
        <v>48</v>
      </c>
      <c r="O12" t="s">
        <v>32</v>
      </c>
      <c r="P12">
        <v>14</v>
      </c>
    </row>
    <row r="13" spans="1:16" x14ac:dyDescent="0.3">
      <c r="A13" t="s">
        <v>89</v>
      </c>
      <c r="B13" t="s">
        <v>90</v>
      </c>
      <c r="C13" t="str">
        <f t="shared" si="0"/>
        <v>July</v>
      </c>
      <c r="D13">
        <f t="shared" si="1"/>
        <v>2025</v>
      </c>
      <c r="E13" t="s">
        <v>91</v>
      </c>
      <c r="F13" t="s">
        <v>92</v>
      </c>
      <c r="G13" t="s">
        <v>20</v>
      </c>
      <c r="H13" t="s">
        <v>71</v>
      </c>
      <c r="I13" t="s">
        <v>72</v>
      </c>
      <c r="J13">
        <v>673</v>
      </c>
      <c r="K13">
        <v>4</v>
      </c>
      <c r="L13">
        <v>2692</v>
      </c>
      <c r="M13" t="s">
        <v>54</v>
      </c>
      <c r="N13" t="s">
        <v>48</v>
      </c>
      <c r="O13" t="s">
        <v>78</v>
      </c>
      <c r="P13">
        <v>27</v>
      </c>
    </row>
    <row r="14" spans="1:16" x14ac:dyDescent="0.3">
      <c r="A14" t="s">
        <v>93</v>
      </c>
      <c r="B14" t="s">
        <v>94</v>
      </c>
      <c r="C14" t="str">
        <f t="shared" si="0"/>
        <v>May</v>
      </c>
      <c r="D14">
        <f t="shared" si="1"/>
        <v>2024</v>
      </c>
      <c r="E14" t="s">
        <v>95</v>
      </c>
      <c r="F14" t="s">
        <v>36</v>
      </c>
      <c r="G14" t="s">
        <v>37</v>
      </c>
      <c r="H14" t="s">
        <v>71</v>
      </c>
      <c r="I14" t="s">
        <v>96</v>
      </c>
      <c r="J14">
        <v>366</v>
      </c>
      <c r="K14">
        <v>2</v>
      </c>
      <c r="L14">
        <v>732</v>
      </c>
      <c r="M14" t="s">
        <v>61</v>
      </c>
      <c r="N14" t="s">
        <v>24</v>
      </c>
      <c r="O14" t="s">
        <v>84</v>
      </c>
      <c r="P14">
        <v>9</v>
      </c>
    </row>
    <row r="15" spans="1:16" x14ac:dyDescent="0.3">
      <c r="A15" t="s">
        <v>97</v>
      </c>
      <c r="B15" t="s">
        <v>98</v>
      </c>
      <c r="C15" t="str">
        <f t="shared" si="0"/>
        <v>June</v>
      </c>
      <c r="D15">
        <f t="shared" si="1"/>
        <v>2025</v>
      </c>
      <c r="E15" t="s">
        <v>99</v>
      </c>
      <c r="F15" t="s">
        <v>100</v>
      </c>
      <c r="G15" t="s">
        <v>20</v>
      </c>
      <c r="H15" t="s">
        <v>71</v>
      </c>
      <c r="I15" t="s">
        <v>72</v>
      </c>
      <c r="J15">
        <v>858</v>
      </c>
      <c r="K15">
        <v>1</v>
      </c>
      <c r="L15">
        <v>858</v>
      </c>
      <c r="M15" t="s">
        <v>61</v>
      </c>
      <c r="N15" t="s">
        <v>40</v>
      </c>
      <c r="O15" t="s">
        <v>62</v>
      </c>
      <c r="P15">
        <v>30</v>
      </c>
    </row>
    <row r="16" spans="1:16" x14ac:dyDescent="0.3">
      <c r="A16" t="s">
        <v>101</v>
      </c>
      <c r="B16" t="s">
        <v>102</v>
      </c>
      <c r="C16" t="str">
        <f t="shared" si="0"/>
        <v>July</v>
      </c>
      <c r="D16">
        <f t="shared" si="1"/>
        <v>2024</v>
      </c>
      <c r="E16" t="s">
        <v>103</v>
      </c>
      <c r="F16" t="s">
        <v>104</v>
      </c>
      <c r="G16" t="s">
        <v>20</v>
      </c>
      <c r="H16" t="s">
        <v>71</v>
      </c>
      <c r="I16" t="s">
        <v>83</v>
      </c>
      <c r="J16">
        <v>1277</v>
      </c>
      <c r="K16">
        <v>4</v>
      </c>
      <c r="L16">
        <v>5108</v>
      </c>
      <c r="M16" t="s">
        <v>61</v>
      </c>
      <c r="N16" t="s">
        <v>31</v>
      </c>
      <c r="O16" t="s">
        <v>25</v>
      </c>
      <c r="P16">
        <v>2</v>
      </c>
    </row>
    <row r="17" spans="1:16" x14ac:dyDescent="0.3">
      <c r="A17" t="s">
        <v>105</v>
      </c>
      <c r="B17" t="s">
        <v>106</v>
      </c>
      <c r="C17" t="str">
        <f t="shared" si="0"/>
        <v>July</v>
      </c>
      <c r="D17">
        <f t="shared" si="1"/>
        <v>2025</v>
      </c>
      <c r="E17" t="s">
        <v>107</v>
      </c>
      <c r="F17" t="s">
        <v>108</v>
      </c>
      <c r="G17" t="s">
        <v>20</v>
      </c>
      <c r="H17" t="s">
        <v>21</v>
      </c>
      <c r="I17" t="s">
        <v>109</v>
      </c>
      <c r="J17">
        <v>530</v>
      </c>
      <c r="K17">
        <v>4</v>
      </c>
      <c r="L17">
        <v>2120</v>
      </c>
      <c r="M17" t="s">
        <v>23</v>
      </c>
      <c r="N17" t="s">
        <v>40</v>
      </c>
      <c r="O17" t="s">
        <v>41</v>
      </c>
      <c r="P17">
        <v>15</v>
      </c>
    </row>
    <row r="18" spans="1:16" x14ac:dyDescent="0.3">
      <c r="A18" t="s">
        <v>110</v>
      </c>
      <c r="B18" t="s">
        <v>111</v>
      </c>
      <c r="C18" t="str">
        <f t="shared" si="0"/>
        <v>March</v>
      </c>
      <c r="D18">
        <f t="shared" si="1"/>
        <v>2024</v>
      </c>
      <c r="E18" t="s">
        <v>112</v>
      </c>
      <c r="F18" t="s">
        <v>113</v>
      </c>
      <c r="G18" t="s">
        <v>46</v>
      </c>
      <c r="H18" t="s">
        <v>21</v>
      </c>
      <c r="I18" t="s">
        <v>114</v>
      </c>
      <c r="J18">
        <v>1210</v>
      </c>
      <c r="K18">
        <v>4</v>
      </c>
      <c r="L18">
        <v>4840</v>
      </c>
      <c r="M18" t="s">
        <v>30</v>
      </c>
      <c r="N18" t="s">
        <v>48</v>
      </c>
      <c r="O18" t="s">
        <v>41</v>
      </c>
      <c r="P18">
        <v>25</v>
      </c>
    </row>
    <row r="19" spans="1:16" x14ac:dyDescent="0.3">
      <c r="A19" t="s">
        <v>115</v>
      </c>
      <c r="B19" t="s">
        <v>116</v>
      </c>
      <c r="C19" t="str">
        <f t="shared" si="0"/>
        <v>October</v>
      </c>
      <c r="D19">
        <f t="shared" si="1"/>
        <v>2024</v>
      </c>
      <c r="E19" t="s">
        <v>117</v>
      </c>
      <c r="F19" t="s">
        <v>118</v>
      </c>
      <c r="G19" t="s">
        <v>46</v>
      </c>
      <c r="H19" t="s">
        <v>71</v>
      </c>
      <c r="I19" t="s">
        <v>119</v>
      </c>
      <c r="J19">
        <v>1096</v>
      </c>
      <c r="K19">
        <v>1</v>
      </c>
      <c r="L19">
        <v>1096</v>
      </c>
      <c r="M19" t="s">
        <v>61</v>
      </c>
      <c r="N19" t="s">
        <v>48</v>
      </c>
      <c r="O19" t="s">
        <v>41</v>
      </c>
      <c r="P19">
        <v>8</v>
      </c>
    </row>
    <row r="20" spans="1:16" x14ac:dyDescent="0.3">
      <c r="A20" t="s">
        <v>120</v>
      </c>
      <c r="B20" t="s">
        <v>121</v>
      </c>
      <c r="C20" t="str">
        <f t="shared" si="0"/>
        <v>October</v>
      </c>
      <c r="D20">
        <f t="shared" si="1"/>
        <v>2024</v>
      </c>
      <c r="E20" t="s">
        <v>122</v>
      </c>
      <c r="F20" t="s">
        <v>123</v>
      </c>
      <c r="G20" t="s">
        <v>46</v>
      </c>
      <c r="H20" t="s">
        <v>71</v>
      </c>
      <c r="I20" t="s">
        <v>124</v>
      </c>
      <c r="J20">
        <v>1262</v>
      </c>
      <c r="K20">
        <v>3</v>
      </c>
      <c r="L20">
        <v>3786</v>
      </c>
      <c r="M20" t="s">
        <v>61</v>
      </c>
      <c r="N20" t="s">
        <v>24</v>
      </c>
      <c r="O20" t="s">
        <v>125</v>
      </c>
      <c r="P20">
        <v>13</v>
      </c>
    </row>
    <row r="21" spans="1:16" x14ac:dyDescent="0.3">
      <c r="A21" t="s">
        <v>126</v>
      </c>
      <c r="B21" t="s">
        <v>127</v>
      </c>
      <c r="C21" t="str">
        <f t="shared" si="0"/>
        <v>April</v>
      </c>
      <c r="D21">
        <f t="shared" si="1"/>
        <v>2024</v>
      </c>
      <c r="E21" t="s">
        <v>128</v>
      </c>
      <c r="F21" t="s">
        <v>129</v>
      </c>
      <c r="G21" t="s">
        <v>20</v>
      </c>
      <c r="H21" t="s">
        <v>38</v>
      </c>
      <c r="I21" t="s">
        <v>130</v>
      </c>
      <c r="J21">
        <v>430</v>
      </c>
      <c r="K21">
        <v>5</v>
      </c>
      <c r="L21">
        <v>2150</v>
      </c>
      <c r="M21" t="s">
        <v>30</v>
      </c>
      <c r="N21" t="s">
        <v>40</v>
      </c>
      <c r="O21" t="s">
        <v>55</v>
      </c>
      <c r="P21">
        <v>8</v>
      </c>
    </row>
    <row r="22" spans="1:16" x14ac:dyDescent="0.3">
      <c r="A22" t="s">
        <v>131</v>
      </c>
      <c r="B22" t="s">
        <v>132</v>
      </c>
      <c r="C22" t="str">
        <f t="shared" si="0"/>
        <v>March</v>
      </c>
      <c r="D22">
        <f t="shared" si="1"/>
        <v>2024</v>
      </c>
      <c r="E22" t="s">
        <v>133</v>
      </c>
      <c r="F22" t="s">
        <v>29</v>
      </c>
      <c r="G22" t="s">
        <v>20</v>
      </c>
      <c r="H22" t="s">
        <v>71</v>
      </c>
      <c r="I22" t="s">
        <v>119</v>
      </c>
      <c r="J22">
        <v>831</v>
      </c>
      <c r="K22">
        <v>2</v>
      </c>
      <c r="L22">
        <v>1662</v>
      </c>
      <c r="M22" t="s">
        <v>30</v>
      </c>
      <c r="N22" t="s">
        <v>40</v>
      </c>
      <c r="O22" t="s">
        <v>32</v>
      </c>
      <c r="P22">
        <v>20</v>
      </c>
    </row>
    <row r="23" spans="1:16" x14ac:dyDescent="0.3">
      <c r="A23" t="s">
        <v>134</v>
      </c>
      <c r="B23" t="s">
        <v>135</v>
      </c>
      <c r="C23" t="str">
        <f t="shared" si="0"/>
        <v>August</v>
      </c>
      <c r="D23">
        <f t="shared" si="1"/>
        <v>2025</v>
      </c>
      <c r="E23" t="s">
        <v>136</v>
      </c>
      <c r="F23" t="s">
        <v>137</v>
      </c>
      <c r="G23" t="s">
        <v>46</v>
      </c>
      <c r="H23" t="s">
        <v>21</v>
      </c>
      <c r="I23" t="s">
        <v>109</v>
      </c>
      <c r="J23">
        <v>1010</v>
      </c>
      <c r="K23">
        <v>2</v>
      </c>
      <c r="L23">
        <v>2020</v>
      </c>
      <c r="M23" t="s">
        <v>138</v>
      </c>
      <c r="N23" t="s">
        <v>31</v>
      </c>
      <c r="O23" t="s">
        <v>25</v>
      </c>
      <c r="P23">
        <v>8</v>
      </c>
    </row>
    <row r="24" spans="1:16" x14ac:dyDescent="0.3">
      <c r="A24" t="s">
        <v>139</v>
      </c>
      <c r="B24" t="s">
        <v>140</v>
      </c>
      <c r="C24" t="str">
        <f t="shared" si="0"/>
        <v>March</v>
      </c>
      <c r="D24">
        <f t="shared" si="1"/>
        <v>2024</v>
      </c>
      <c r="E24" t="s">
        <v>141</v>
      </c>
      <c r="F24" t="s">
        <v>142</v>
      </c>
      <c r="G24" t="s">
        <v>46</v>
      </c>
      <c r="H24" t="s">
        <v>38</v>
      </c>
      <c r="I24" t="s">
        <v>130</v>
      </c>
      <c r="J24">
        <v>635</v>
      </c>
      <c r="K24">
        <v>5</v>
      </c>
      <c r="L24">
        <v>3175</v>
      </c>
      <c r="M24" t="s">
        <v>30</v>
      </c>
      <c r="N24" t="s">
        <v>31</v>
      </c>
      <c r="O24" t="s">
        <v>55</v>
      </c>
      <c r="P24">
        <v>8</v>
      </c>
    </row>
    <row r="25" spans="1:16" x14ac:dyDescent="0.3">
      <c r="A25" t="s">
        <v>143</v>
      </c>
      <c r="B25" t="s">
        <v>144</v>
      </c>
      <c r="C25" t="str">
        <f t="shared" si="0"/>
        <v>January</v>
      </c>
      <c r="D25">
        <f t="shared" si="1"/>
        <v>2024</v>
      </c>
      <c r="E25" t="s">
        <v>145</v>
      </c>
      <c r="F25" t="s">
        <v>146</v>
      </c>
      <c r="G25" t="s">
        <v>37</v>
      </c>
      <c r="H25" t="s">
        <v>71</v>
      </c>
      <c r="I25" t="s">
        <v>119</v>
      </c>
      <c r="J25">
        <v>632</v>
      </c>
      <c r="K25">
        <v>5</v>
      </c>
      <c r="L25">
        <v>3160</v>
      </c>
      <c r="M25" t="s">
        <v>138</v>
      </c>
      <c r="N25" t="s">
        <v>40</v>
      </c>
      <c r="O25" t="s">
        <v>25</v>
      </c>
      <c r="P25">
        <v>29</v>
      </c>
    </row>
    <row r="26" spans="1:16" x14ac:dyDescent="0.3">
      <c r="A26" t="s">
        <v>147</v>
      </c>
      <c r="B26" t="s">
        <v>148</v>
      </c>
      <c r="C26" t="str">
        <f t="shared" si="0"/>
        <v>December</v>
      </c>
      <c r="D26">
        <f t="shared" si="1"/>
        <v>2024</v>
      </c>
      <c r="E26" t="s">
        <v>149</v>
      </c>
      <c r="F26" t="s">
        <v>150</v>
      </c>
      <c r="G26" t="s">
        <v>37</v>
      </c>
      <c r="H26" t="s">
        <v>71</v>
      </c>
      <c r="I26" t="s">
        <v>119</v>
      </c>
      <c r="J26">
        <v>1371</v>
      </c>
      <c r="K26">
        <v>4</v>
      </c>
      <c r="L26">
        <v>5484</v>
      </c>
      <c r="M26" t="s">
        <v>54</v>
      </c>
      <c r="N26" t="s">
        <v>24</v>
      </c>
      <c r="O26" t="s">
        <v>62</v>
      </c>
      <c r="P26">
        <v>21</v>
      </c>
    </row>
    <row r="27" spans="1:16" x14ac:dyDescent="0.3">
      <c r="A27" t="s">
        <v>151</v>
      </c>
      <c r="B27" t="s">
        <v>152</v>
      </c>
      <c r="C27" t="str">
        <f t="shared" si="0"/>
        <v>August</v>
      </c>
      <c r="D27">
        <f t="shared" si="1"/>
        <v>2024</v>
      </c>
      <c r="E27" t="s">
        <v>153</v>
      </c>
      <c r="F27" t="s">
        <v>154</v>
      </c>
      <c r="G27" t="s">
        <v>20</v>
      </c>
      <c r="H27" t="s">
        <v>38</v>
      </c>
      <c r="I27" t="s">
        <v>130</v>
      </c>
      <c r="J27">
        <v>1486</v>
      </c>
      <c r="K27">
        <v>2</v>
      </c>
      <c r="L27">
        <v>2972</v>
      </c>
      <c r="M27" t="s">
        <v>138</v>
      </c>
      <c r="N27" t="s">
        <v>24</v>
      </c>
      <c r="O27" t="s">
        <v>62</v>
      </c>
      <c r="P27">
        <v>8</v>
      </c>
    </row>
    <row r="28" spans="1:16" x14ac:dyDescent="0.3">
      <c r="A28" t="s">
        <v>155</v>
      </c>
      <c r="B28" t="s">
        <v>156</v>
      </c>
      <c r="C28" t="str">
        <f t="shared" si="0"/>
        <v>March</v>
      </c>
      <c r="D28">
        <f t="shared" si="1"/>
        <v>2024</v>
      </c>
      <c r="E28" t="s">
        <v>157</v>
      </c>
      <c r="F28" t="s">
        <v>158</v>
      </c>
      <c r="G28" t="s">
        <v>46</v>
      </c>
      <c r="H28" t="s">
        <v>21</v>
      </c>
      <c r="I28" t="s">
        <v>109</v>
      </c>
      <c r="J28">
        <v>1434</v>
      </c>
      <c r="K28">
        <v>4</v>
      </c>
      <c r="L28">
        <v>5736</v>
      </c>
      <c r="M28" t="s">
        <v>30</v>
      </c>
      <c r="N28" t="s">
        <v>48</v>
      </c>
      <c r="O28" t="s">
        <v>55</v>
      </c>
      <c r="P28">
        <v>14</v>
      </c>
    </row>
    <row r="29" spans="1:16" x14ac:dyDescent="0.3">
      <c r="A29" t="s">
        <v>159</v>
      </c>
      <c r="B29" t="s">
        <v>160</v>
      </c>
      <c r="C29" t="str">
        <f t="shared" si="0"/>
        <v>February</v>
      </c>
      <c r="D29">
        <f t="shared" si="1"/>
        <v>2024</v>
      </c>
      <c r="E29" t="s">
        <v>161</v>
      </c>
      <c r="F29" t="s">
        <v>154</v>
      </c>
      <c r="G29" t="s">
        <v>37</v>
      </c>
      <c r="H29" t="s">
        <v>38</v>
      </c>
      <c r="I29" t="s">
        <v>130</v>
      </c>
      <c r="J29">
        <v>481</v>
      </c>
      <c r="K29">
        <v>5</v>
      </c>
      <c r="L29">
        <v>2405</v>
      </c>
      <c r="M29" t="s">
        <v>54</v>
      </c>
      <c r="N29" t="s">
        <v>40</v>
      </c>
      <c r="O29" t="s">
        <v>125</v>
      </c>
      <c r="P29">
        <v>16</v>
      </c>
    </row>
    <row r="30" spans="1:16" x14ac:dyDescent="0.3">
      <c r="A30" t="s">
        <v>162</v>
      </c>
      <c r="B30" t="s">
        <v>163</v>
      </c>
      <c r="C30" t="str">
        <f t="shared" si="0"/>
        <v>March</v>
      </c>
      <c r="D30">
        <f t="shared" si="1"/>
        <v>2024</v>
      </c>
      <c r="E30" t="s">
        <v>164</v>
      </c>
      <c r="F30" t="s">
        <v>165</v>
      </c>
      <c r="G30" t="s">
        <v>20</v>
      </c>
      <c r="H30" t="s">
        <v>71</v>
      </c>
      <c r="I30" t="s">
        <v>72</v>
      </c>
      <c r="J30">
        <v>1326</v>
      </c>
      <c r="K30">
        <v>5</v>
      </c>
      <c r="L30">
        <v>6630</v>
      </c>
      <c r="M30" t="s">
        <v>23</v>
      </c>
      <c r="N30" t="s">
        <v>40</v>
      </c>
      <c r="O30" t="s">
        <v>84</v>
      </c>
      <c r="P30">
        <v>11</v>
      </c>
    </row>
    <row r="31" spans="1:16" x14ac:dyDescent="0.3">
      <c r="A31" t="s">
        <v>166</v>
      </c>
      <c r="B31" t="s">
        <v>167</v>
      </c>
      <c r="C31" t="str">
        <f t="shared" si="0"/>
        <v>April</v>
      </c>
      <c r="D31">
        <f t="shared" si="1"/>
        <v>2024</v>
      </c>
      <c r="E31" t="s">
        <v>168</v>
      </c>
      <c r="F31" t="s">
        <v>169</v>
      </c>
      <c r="G31" t="s">
        <v>37</v>
      </c>
      <c r="H31" t="s">
        <v>38</v>
      </c>
      <c r="I31" t="s">
        <v>60</v>
      </c>
      <c r="J31">
        <v>1117</v>
      </c>
      <c r="K31">
        <v>2</v>
      </c>
      <c r="L31">
        <v>2234</v>
      </c>
      <c r="M31" t="s">
        <v>61</v>
      </c>
      <c r="N31" t="s">
        <v>24</v>
      </c>
      <c r="O31" t="s">
        <v>125</v>
      </c>
      <c r="P31">
        <v>0</v>
      </c>
    </row>
    <row r="32" spans="1:16" x14ac:dyDescent="0.3">
      <c r="A32" t="s">
        <v>170</v>
      </c>
      <c r="B32" t="s">
        <v>171</v>
      </c>
      <c r="C32" t="str">
        <f t="shared" si="0"/>
        <v>November</v>
      </c>
      <c r="D32">
        <f t="shared" si="1"/>
        <v>2024</v>
      </c>
      <c r="E32" t="s">
        <v>172</v>
      </c>
      <c r="F32" t="s">
        <v>173</v>
      </c>
      <c r="G32" t="s">
        <v>20</v>
      </c>
      <c r="H32" t="s">
        <v>21</v>
      </c>
      <c r="I32" t="s">
        <v>77</v>
      </c>
      <c r="J32">
        <v>775</v>
      </c>
      <c r="K32">
        <v>4</v>
      </c>
      <c r="L32">
        <v>3100</v>
      </c>
      <c r="M32" t="s">
        <v>54</v>
      </c>
      <c r="N32" t="s">
        <v>48</v>
      </c>
      <c r="O32" t="s">
        <v>41</v>
      </c>
      <c r="P32">
        <v>25</v>
      </c>
    </row>
    <row r="33" spans="1:16" x14ac:dyDescent="0.3">
      <c r="A33" t="s">
        <v>174</v>
      </c>
      <c r="B33" t="s">
        <v>175</v>
      </c>
      <c r="C33" t="str">
        <f t="shared" si="0"/>
        <v>July</v>
      </c>
      <c r="D33">
        <f t="shared" si="1"/>
        <v>2025</v>
      </c>
      <c r="E33" t="s">
        <v>176</v>
      </c>
      <c r="F33" t="s">
        <v>70</v>
      </c>
      <c r="G33" t="s">
        <v>46</v>
      </c>
      <c r="H33" t="s">
        <v>38</v>
      </c>
      <c r="I33" t="s">
        <v>130</v>
      </c>
      <c r="J33">
        <v>356</v>
      </c>
      <c r="K33">
        <v>1</v>
      </c>
      <c r="L33">
        <v>356</v>
      </c>
      <c r="M33" t="s">
        <v>30</v>
      </c>
      <c r="N33" t="s">
        <v>40</v>
      </c>
      <c r="O33" t="s">
        <v>62</v>
      </c>
      <c r="P33">
        <v>3</v>
      </c>
    </row>
    <row r="34" spans="1:16" x14ac:dyDescent="0.3">
      <c r="A34" t="s">
        <v>177</v>
      </c>
      <c r="B34" t="s">
        <v>178</v>
      </c>
      <c r="C34" t="str">
        <f t="shared" si="0"/>
        <v>July</v>
      </c>
      <c r="D34">
        <f t="shared" si="1"/>
        <v>2024</v>
      </c>
      <c r="E34" t="s">
        <v>179</v>
      </c>
      <c r="F34" t="s">
        <v>158</v>
      </c>
      <c r="G34" t="s">
        <v>37</v>
      </c>
      <c r="H34" t="s">
        <v>21</v>
      </c>
      <c r="I34" t="s">
        <v>109</v>
      </c>
      <c r="J34">
        <v>376</v>
      </c>
      <c r="K34">
        <v>5</v>
      </c>
      <c r="L34">
        <v>1880</v>
      </c>
      <c r="M34" t="s">
        <v>54</v>
      </c>
      <c r="N34" t="s">
        <v>24</v>
      </c>
      <c r="O34" t="s">
        <v>55</v>
      </c>
      <c r="P34">
        <v>10</v>
      </c>
    </row>
    <row r="35" spans="1:16" x14ac:dyDescent="0.3">
      <c r="A35" t="s">
        <v>180</v>
      </c>
      <c r="B35" t="s">
        <v>181</v>
      </c>
      <c r="C35" t="str">
        <f t="shared" si="0"/>
        <v>March</v>
      </c>
      <c r="D35">
        <f t="shared" si="1"/>
        <v>2024</v>
      </c>
      <c r="E35" t="s">
        <v>182</v>
      </c>
      <c r="F35" t="s">
        <v>183</v>
      </c>
      <c r="G35" t="s">
        <v>37</v>
      </c>
      <c r="H35" t="s">
        <v>21</v>
      </c>
      <c r="I35" t="s">
        <v>22</v>
      </c>
      <c r="J35">
        <v>1425</v>
      </c>
      <c r="K35">
        <v>1</v>
      </c>
      <c r="L35">
        <v>1425</v>
      </c>
      <c r="M35" t="s">
        <v>61</v>
      </c>
      <c r="N35" t="s">
        <v>40</v>
      </c>
      <c r="O35" t="s">
        <v>32</v>
      </c>
      <c r="P35">
        <v>6</v>
      </c>
    </row>
    <row r="36" spans="1:16" x14ac:dyDescent="0.3">
      <c r="A36" t="s">
        <v>184</v>
      </c>
      <c r="B36" t="s">
        <v>185</v>
      </c>
      <c r="C36" t="str">
        <f t="shared" si="0"/>
        <v>February</v>
      </c>
      <c r="D36">
        <f t="shared" si="1"/>
        <v>2025</v>
      </c>
      <c r="E36" t="s">
        <v>186</v>
      </c>
      <c r="F36" t="s">
        <v>187</v>
      </c>
      <c r="G36" t="s">
        <v>37</v>
      </c>
      <c r="H36" t="s">
        <v>38</v>
      </c>
      <c r="I36" t="s">
        <v>60</v>
      </c>
      <c r="J36">
        <v>293</v>
      </c>
      <c r="K36">
        <v>5</v>
      </c>
      <c r="L36">
        <v>1465</v>
      </c>
      <c r="M36" t="s">
        <v>61</v>
      </c>
      <c r="N36" t="s">
        <v>24</v>
      </c>
      <c r="O36" t="s">
        <v>62</v>
      </c>
      <c r="P36">
        <v>14</v>
      </c>
    </row>
    <row r="37" spans="1:16" x14ac:dyDescent="0.3">
      <c r="A37" t="s">
        <v>188</v>
      </c>
      <c r="B37" t="s">
        <v>189</v>
      </c>
      <c r="C37" t="str">
        <f t="shared" si="0"/>
        <v>August</v>
      </c>
      <c r="D37">
        <f t="shared" si="1"/>
        <v>2024</v>
      </c>
      <c r="E37" t="s">
        <v>18</v>
      </c>
      <c r="F37" t="s">
        <v>190</v>
      </c>
      <c r="G37" t="s">
        <v>37</v>
      </c>
      <c r="H37" t="s">
        <v>21</v>
      </c>
      <c r="I37" t="s">
        <v>114</v>
      </c>
      <c r="J37">
        <v>1288</v>
      </c>
      <c r="K37">
        <v>1</v>
      </c>
      <c r="L37">
        <v>1288</v>
      </c>
      <c r="M37" t="s">
        <v>54</v>
      </c>
      <c r="N37" t="s">
        <v>31</v>
      </c>
      <c r="O37" t="s">
        <v>25</v>
      </c>
      <c r="P37">
        <v>15</v>
      </c>
    </row>
    <row r="38" spans="1:16" x14ac:dyDescent="0.3">
      <c r="A38" t="s">
        <v>191</v>
      </c>
      <c r="B38" t="s">
        <v>192</v>
      </c>
      <c r="C38" t="str">
        <f t="shared" si="0"/>
        <v>February</v>
      </c>
      <c r="D38">
        <f t="shared" si="1"/>
        <v>2025</v>
      </c>
      <c r="E38" t="s">
        <v>193</v>
      </c>
      <c r="F38" t="s">
        <v>194</v>
      </c>
      <c r="G38" t="s">
        <v>37</v>
      </c>
      <c r="H38" t="s">
        <v>71</v>
      </c>
      <c r="I38" t="s">
        <v>124</v>
      </c>
      <c r="J38">
        <v>522</v>
      </c>
      <c r="K38">
        <v>1</v>
      </c>
      <c r="L38">
        <v>522</v>
      </c>
      <c r="M38" t="s">
        <v>138</v>
      </c>
      <c r="N38" t="s">
        <v>24</v>
      </c>
      <c r="O38" t="s">
        <v>25</v>
      </c>
      <c r="P38">
        <v>2</v>
      </c>
    </row>
    <row r="39" spans="1:16" x14ac:dyDescent="0.3">
      <c r="A39" t="s">
        <v>195</v>
      </c>
      <c r="B39" t="s">
        <v>196</v>
      </c>
      <c r="C39" t="str">
        <f t="shared" si="0"/>
        <v>May</v>
      </c>
      <c r="D39">
        <f t="shared" si="1"/>
        <v>2025</v>
      </c>
      <c r="E39" t="s">
        <v>197</v>
      </c>
      <c r="F39" t="s">
        <v>198</v>
      </c>
      <c r="G39" t="s">
        <v>20</v>
      </c>
      <c r="H39" t="s">
        <v>38</v>
      </c>
      <c r="I39" t="s">
        <v>47</v>
      </c>
      <c r="J39">
        <v>675</v>
      </c>
      <c r="K39">
        <v>1</v>
      </c>
      <c r="L39">
        <v>675</v>
      </c>
      <c r="M39" t="s">
        <v>61</v>
      </c>
      <c r="N39" t="s">
        <v>48</v>
      </c>
      <c r="O39" t="s">
        <v>32</v>
      </c>
      <c r="P39">
        <v>21</v>
      </c>
    </row>
    <row r="40" spans="1:16" x14ac:dyDescent="0.3">
      <c r="A40" t="s">
        <v>199</v>
      </c>
      <c r="B40" t="s">
        <v>200</v>
      </c>
      <c r="C40" t="str">
        <f t="shared" si="0"/>
        <v>August</v>
      </c>
      <c r="D40">
        <f t="shared" si="1"/>
        <v>2024</v>
      </c>
      <c r="E40" t="s">
        <v>201</v>
      </c>
      <c r="F40" t="s">
        <v>202</v>
      </c>
      <c r="G40" t="s">
        <v>37</v>
      </c>
      <c r="H40" t="s">
        <v>21</v>
      </c>
      <c r="I40" t="s">
        <v>22</v>
      </c>
      <c r="J40">
        <v>934</v>
      </c>
      <c r="K40">
        <v>1</v>
      </c>
      <c r="L40">
        <v>934</v>
      </c>
      <c r="M40" t="s">
        <v>23</v>
      </c>
      <c r="N40" t="s">
        <v>40</v>
      </c>
      <c r="O40" t="s">
        <v>125</v>
      </c>
      <c r="P40">
        <v>22</v>
      </c>
    </row>
    <row r="41" spans="1:16" x14ac:dyDescent="0.3">
      <c r="A41" t="s">
        <v>203</v>
      </c>
      <c r="B41" t="s">
        <v>204</v>
      </c>
      <c r="C41" t="str">
        <f t="shared" si="0"/>
        <v>November</v>
      </c>
      <c r="D41">
        <f t="shared" si="1"/>
        <v>2024</v>
      </c>
      <c r="E41" t="s">
        <v>205</v>
      </c>
      <c r="F41" t="s">
        <v>206</v>
      </c>
      <c r="G41" t="s">
        <v>46</v>
      </c>
      <c r="H41" t="s">
        <v>21</v>
      </c>
      <c r="I41" t="s">
        <v>22</v>
      </c>
      <c r="J41">
        <v>372</v>
      </c>
      <c r="K41">
        <v>5</v>
      </c>
      <c r="L41">
        <v>1860</v>
      </c>
      <c r="M41" t="s">
        <v>23</v>
      </c>
      <c r="N41" t="s">
        <v>31</v>
      </c>
      <c r="O41" t="s">
        <v>125</v>
      </c>
      <c r="P41">
        <v>21</v>
      </c>
    </row>
    <row r="42" spans="1:16" x14ac:dyDescent="0.3">
      <c r="A42" t="s">
        <v>207</v>
      </c>
      <c r="B42" t="s">
        <v>208</v>
      </c>
      <c r="C42" t="str">
        <f t="shared" si="0"/>
        <v>February</v>
      </c>
      <c r="D42">
        <f t="shared" si="1"/>
        <v>2024</v>
      </c>
      <c r="E42" t="s">
        <v>209</v>
      </c>
      <c r="F42" t="s">
        <v>210</v>
      </c>
      <c r="G42" t="s">
        <v>46</v>
      </c>
      <c r="H42" t="s">
        <v>71</v>
      </c>
      <c r="I42" t="s">
        <v>96</v>
      </c>
      <c r="J42">
        <v>724</v>
      </c>
      <c r="K42">
        <v>5</v>
      </c>
      <c r="L42">
        <v>3620</v>
      </c>
      <c r="M42" t="s">
        <v>54</v>
      </c>
      <c r="N42" t="s">
        <v>31</v>
      </c>
      <c r="O42" t="s">
        <v>55</v>
      </c>
      <c r="P42">
        <v>15</v>
      </c>
    </row>
    <row r="43" spans="1:16" x14ac:dyDescent="0.3">
      <c r="A43" t="s">
        <v>211</v>
      </c>
      <c r="B43" t="s">
        <v>212</v>
      </c>
      <c r="C43" t="str">
        <f t="shared" si="0"/>
        <v>July</v>
      </c>
      <c r="D43">
        <f t="shared" si="1"/>
        <v>2024</v>
      </c>
      <c r="E43" t="s">
        <v>213</v>
      </c>
      <c r="F43" t="s">
        <v>214</v>
      </c>
      <c r="G43" t="s">
        <v>46</v>
      </c>
      <c r="H43" t="s">
        <v>21</v>
      </c>
      <c r="I43" t="s">
        <v>53</v>
      </c>
      <c r="J43">
        <v>1295</v>
      </c>
      <c r="K43">
        <v>5</v>
      </c>
      <c r="L43">
        <v>6475</v>
      </c>
      <c r="M43" t="s">
        <v>54</v>
      </c>
      <c r="N43" t="s">
        <v>40</v>
      </c>
      <c r="O43" t="s">
        <v>78</v>
      </c>
      <c r="P43">
        <v>20</v>
      </c>
    </row>
    <row r="44" spans="1:16" x14ac:dyDescent="0.3">
      <c r="A44" t="s">
        <v>215</v>
      </c>
      <c r="B44" t="s">
        <v>216</v>
      </c>
      <c r="C44" t="str">
        <f t="shared" si="0"/>
        <v>August</v>
      </c>
      <c r="D44">
        <f t="shared" si="1"/>
        <v>2025</v>
      </c>
      <c r="E44" t="s">
        <v>217</v>
      </c>
      <c r="F44" t="s">
        <v>218</v>
      </c>
      <c r="G44" t="s">
        <v>46</v>
      </c>
      <c r="H44" t="s">
        <v>71</v>
      </c>
      <c r="I44" t="s">
        <v>72</v>
      </c>
      <c r="J44">
        <v>745</v>
      </c>
      <c r="K44">
        <v>4</v>
      </c>
      <c r="L44">
        <v>2980</v>
      </c>
      <c r="M44" t="s">
        <v>61</v>
      </c>
      <c r="N44" t="s">
        <v>24</v>
      </c>
      <c r="O44" t="s">
        <v>78</v>
      </c>
      <c r="P44">
        <v>15</v>
      </c>
    </row>
    <row r="45" spans="1:16" x14ac:dyDescent="0.3">
      <c r="A45" t="s">
        <v>219</v>
      </c>
      <c r="B45" t="s">
        <v>220</v>
      </c>
      <c r="C45" t="str">
        <f t="shared" si="0"/>
        <v>June</v>
      </c>
      <c r="D45">
        <f t="shared" si="1"/>
        <v>2025</v>
      </c>
      <c r="E45" t="s">
        <v>221</v>
      </c>
      <c r="F45" t="s">
        <v>222</v>
      </c>
      <c r="G45" t="s">
        <v>37</v>
      </c>
      <c r="H45" t="s">
        <v>38</v>
      </c>
      <c r="I45" t="s">
        <v>47</v>
      </c>
      <c r="J45">
        <v>713</v>
      </c>
      <c r="K45">
        <v>4</v>
      </c>
      <c r="L45">
        <v>2852</v>
      </c>
      <c r="M45" t="s">
        <v>23</v>
      </c>
      <c r="N45" t="s">
        <v>48</v>
      </c>
      <c r="O45" t="s">
        <v>125</v>
      </c>
      <c r="P45">
        <v>13</v>
      </c>
    </row>
    <row r="46" spans="1:16" x14ac:dyDescent="0.3">
      <c r="A46" t="s">
        <v>223</v>
      </c>
      <c r="B46" t="s">
        <v>224</v>
      </c>
      <c r="C46" t="str">
        <f t="shared" si="0"/>
        <v>June</v>
      </c>
      <c r="D46">
        <f t="shared" si="1"/>
        <v>2024</v>
      </c>
      <c r="E46" t="s">
        <v>225</v>
      </c>
      <c r="F46" t="s">
        <v>226</v>
      </c>
      <c r="G46" t="s">
        <v>46</v>
      </c>
      <c r="H46" t="s">
        <v>71</v>
      </c>
      <c r="I46" t="s">
        <v>72</v>
      </c>
      <c r="J46">
        <v>274</v>
      </c>
      <c r="K46">
        <v>5</v>
      </c>
      <c r="L46">
        <v>1370</v>
      </c>
      <c r="M46" t="s">
        <v>30</v>
      </c>
      <c r="N46" t="s">
        <v>48</v>
      </c>
      <c r="O46" t="s">
        <v>125</v>
      </c>
      <c r="P46">
        <v>9</v>
      </c>
    </row>
    <row r="47" spans="1:16" x14ac:dyDescent="0.3">
      <c r="A47" t="s">
        <v>227</v>
      </c>
      <c r="B47" t="s">
        <v>181</v>
      </c>
      <c r="C47" t="str">
        <f t="shared" si="0"/>
        <v>March</v>
      </c>
      <c r="D47">
        <f t="shared" si="1"/>
        <v>2024</v>
      </c>
      <c r="E47" t="s">
        <v>182</v>
      </c>
      <c r="F47" t="s">
        <v>150</v>
      </c>
      <c r="G47" t="s">
        <v>46</v>
      </c>
      <c r="H47" t="s">
        <v>38</v>
      </c>
      <c r="I47" t="s">
        <v>47</v>
      </c>
      <c r="J47">
        <v>443</v>
      </c>
      <c r="K47">
        <v>4</v>
      </c>
      <c r="L47">
        <v>1772</v>
      </c>
      <c r="M47" t="s">
        <v>23</v>
      </c>
      <c r="N47" t="s">
        <v>40</v>
      </c>
      <c r="O47" t="s">
        <v>62</v>
      </c>
      <c r="P47">
        <v>21</v>
      </c>
    </row>
    <row r="48" spans="1:16" x14ac:dyDescent="0.3">
      <c r="A48" t="s">
        <v>228</v>
      </c>
      <c r="B48" t="s">
        <v>229</v>
      </c>
      <c r="C48" t="str">
        <f t="shared" si="0"/>
        <v>April</v>
      </c>
      <c r="D48">
        <f t="shared" si="1"/>
        <v>2024</v>
      </c>
      <c r="E48" t="s">
        <v>230</v>
      </c>
      <c r="F48" t="s">
        <v>231</v>
      </c>
      <c r="G48" t="s">
        <v>37</v>
      </c>
      <c r="H48" t="s">
        <v>71</v>
      </c>
      <c r="I48" t="s">
        <v>96</v>
      </c>
      <c r="J48">
        <v>1009</v>
      </c>
      <c r="K48">
        <v>3</v>
      </c>
      <c r="L48">
        <v>3027</v>
      </c>
      <c r="M48" t="s">
        <v>138</v>
      </c>
      <c r="N48" t="s">
        <v>31</v>
      </c>
      <c r="O48" t="s">
        <v>41</v>
      </c>
      <c r="P48">
        <v>17</v>
      </c>
    </row>
    <row r="49" spans="1:16" x14ac:dyDescent="0.3">
      <c r="A49" t="s">
        <v>232</v>
      </c>
      <c r="B49" t="s">
        <v>233</v>
      </c>
      <c r="C49" t="str">
        <f t="shared" si="0"/>
        <v>September</v>
      </c>
      <c r="D49">
        <f t="shared" si="1"/>
        <v>2024</v>
      </c>
      <c r="E49" t="s">
        <v>234</v>
      </c>
      <c r="F49" t="s">
        <v>123</v>
      </c>
      <c r="G49" t="s">
        <v>20</v>
      </c>
      <c r="H49" t="s">
        <v>38</v>
      </c>
      <c r="I49" t="s">
        <v>47</v>
      </c>
      <c r="J49">
        <v>1445</v>
      </c>
      <c r="K49">
        <v>5</v>
      </c>
      <c r="L49">
        <v>7225</v>
      </c>
      <c r="M49" t="s">
        <v>30</v>
      </c>
      <c r="N49" t="s">
        <v>24</v>
      </c>
      <c r="O49" t="s">
        <v>25</v>
      </c>
      <c r="P49">
        <v>20</v>
      </c>
    </row>
    <row r="50" spans="1:16" x14ac:dyDescent="0.3">
      <c r="A50" t="s">
        <v>235</v>
      </c>
      <c r="B50" t="s">
        <v>236</v>
      </c>
      <c r="C50" t="str">
        <f t="shared" si="0"/>
        <v>April</v>
      </c>
      <c r="D50">
        <f t="shared" si="1"/>
        <v>2024</v>
      </c>
      <c r="E50" t="s">
        <v>237</v>
      </c>
      <c r="F50" t="s">
        <v>238</v>
      </c>
      <c r="G50" t="s">
        <v>20</v>
      </c>
      <c r="H50" t="s">
        <v>71</v>
      </c>
      <c r="I50" t="s">
        <v>96</v>
      </c>
      <c r="J50">
        <v>765</v>
      </c>
      <c r="K50">
        <v>4</v>
      </c>
      <c r="L50">
        <v>3060</v>
      </c>
      <c r="M50" t="s">
        <v>61</v>
      </c>
      <c r="N50" t="s">
        <v>48</v>
      </c>
      <c r="O50" t="s">
        <v>41</v>
      </c>
      <c r="P50">
        <v>28</v>
      </c>
    </row>
    <row r="51" spans="1:16" x14ac:dyDescent="0.3">
      <c r="A51" t="s">
        <v>239</v>
      </c>
      <c r="B51" t="s">
        <v>240</v>
      </c>
      <c r="C51" t="str">
        <f t="shared" si="0"/>
        <v>June</v>
      </c>
      <c r="D51">
        <f t="shared" si="1"/>
        <v>2024</v>
      </c>
      <c r="E51" t="s">
        <v>186</v>
      </c>
      <c r="F51" t="s">
        <v>169</v>
      </c>
      <c r="G51" t="s">
        <v>37</v>
      </c>
      <c r="H51" t="s">
        <v>71</v>
      </c>
      <c r="I51" t="s">
        <v>124</v>
      </c>
      <c r="J51">
        <v>1218</v>
      </c>
      <c r="K51">
        <v>1</v>
      </c>
      <c r="L51">
        <v>1218</v>
      </c>
      <c r="M51" t="s">
        <v>30</v>
      </c>
      <c r="N51" t="s">
        <v>31</v>
      </c>
      <c r="O51" t="s">
        <v>62</v>
      </c>
      <c r="P51">
        <v>12</v>
      </c>
    </row>
    <row r="52" spans="1:16" x14ac:dyDescent="0.3">
      <c r="A52" t="s">
        <v>241</v>
      </c>
      <c r="B52" t="s">
        <v>242</v>
      </c>
      <c r="C52" t="str">
        <f t="shared" si="0"/>
        <v>October</v>
      </c>
      <c r="D52">
        <f t="shared" si="1"/>
        <v>2024</v>
      </c>
      <c r="E52" t="s">
        <v>243</v>
      </c>
      <c r="F52" t="s">
        <v>244</v>
      </c>
      <c r="G52" t="s">
        <v>46</v>
      </c>
      <c r="H52" t="s">
        <v>21</v>
      </c>
      <c r="I52" t="s">
        <v>77</v>
      </c>
      <c r="J52">
        <v>1158</v>
      </c>
      <c r="K52">
        <v>3</v>
      </c>
      <c r="L52">
        <v>3474</v>
      </c>
      <c r="M52" t="s">
        <v>54</v>
      </c>
      <c r="N52" t="s">
        <v>31</v>
      </c>
      <c r="O52" t="s">
        <v>32</v>
      </c>
      <c r="P52">
        <v>17</v>
      </c>
    </row>
    <row r="53" spans="1:16" x14ac:dyDescent="0.3">
      <c r="A53" t="s">
        <v>245</v>
      </c>
      <c r="B53" t="s">
        <v>246</v>
      </c>
      <c r="C53" t="str">
        <f t="shared" si="0"/>
        <v>June</v>
      </c>
      <c r="D53">
        <f t="shared" si="1"/>
        <v>2024</v>
      </c>
      <c r="E53" t="s">
        <v>247</v>
      </c>
      <c r="F53" t="s">
        <v>248</v>
      </c>
      <c r="G53" t="s">
        <v>46</v>
      </c>
      <c r="H53" t="s">
        <v>21</v>
      </c>
      <c r="I53" t="s">
        <v>77</v>
      </c>
      <c r="J53">
        <v>1471</v>
      </c>
      <c r="K53">
        <v>3</v>
      </c>
      <c r="L53">
        <v>4413</v>
      </c>
      <c r="M53" t="s">
        <v>61</v>
      </c>
      <c r="N53" t="s">
        <v>24</v>
      </c>
      <c r="O53" t="s">
        <v>125</v>
      </c>
      <c r="P53">
        <v>4</v>
      </c>
    </row>
    <row r="54" spans="1:16" x14ac:dyDescent="0.3">
      <c r="A54" t="s">
        <v>249</v>
      </c>
      <c r="B54" t="s">
        <v>236</v>
      </c>
      <c r="C54" t="str">
        <f t="shared" si="0"/>
        <v>April</v>
      </c>
      <c r="D54">
        <f t="shared" si="1"/>
        <v>2024</v>
      </c>
      <c r="E54" t="s">
        <v>250</v>
      </c>
      <c r="F54" t="s">
        <v>251</v>
      </c>
      <c r="G54" t="s">
        <v>46</v>
      </c>
      <c r="H54" t="s">
        <v>71</v>
      </c>
      <c r="I54" t="s">
        <v>83</v>
      </c>
      <c r="J54">
        <v>1167</v>
      </c>
      <c r="K54">
        <v>1</v>
      </c>
      <c r="L54">
        <v>1167</v>
      </c>
      <c r="M54" t="s">
        <v>30</v>
      </c>
      <c r="N54" t="s">
        <v>24</v>
      </c>
      <c r="O54" t="s">
        <v>55</v>
      </c>
      <c r="P54">
        <v>17</v>
      </c>
    </row>
    <row r="55" spans="1:16" x14ac:dyDescent="0.3">
      <c r="A55" t="s">
        <v>252</v>
      </c>
      <c r="B55" t="s">
        <v>253</v>
      </c>
      <c r="C55" t="str">
        <f t="shared" si="0"/>
        <v>June</v>
      </c>
      <c r="D55">
        <f t="shared" si="1"/>
        <v>2024</v>
      </c>
      <c r="E55" t="s">
        <v>254</v>
      </c>
      <c r="F55" t="s">
        <v>255</v>
      </c>
      <c r="G55" t="s">
        <v>20</v>
      </c>
      <c r="H55" t="s">
        <v>71</v>
      </c>
      <c r="I55" t="s">
        <v>96</v>
      </c>
      <c r="J55">
        <v>377</v>
      </c>
      <c r="K55">
        <v>4</v>
      </c>
      <c r="L55">
        <v>1508</v>
      </c>
      <c r="M55" t="s">
        <v>30</v>
      </c>
      <c r="N55" t="s">
        <v>24</v>
      </c>
      <c r="O55" t="s">
        <v>25</v>
      </c>
      <c r="P55">
        <v>10</v>
      </c>
    </row>
    <row r="56" spans="1:16" x14ac:dyDescent="0.3">
      <c r="A56" t="s">
        <v>256</v>
      </c>
      <c r="B56" t="s">
        <v>257</v>
      </c>
      <c r="C56" t="str">
        <f t="shared" si="0"/>
        <v>March</v>
      </c>
      <c r="D56">
        <f t="shared" si="1"/>
        <v>2024</v>
      </c>
      <c r="E56" t="s">
        <v>258</v>
      </c>
      <c r="F56" t="s">
        <v>259</v>
      </c>
      <c r="G56" t="s">
        <v>20</v>
      </c>
      <c r="H56" t="s">
        <v>38</v>
      </c>
      <c r="I56" t="s">
        <v>130</v>
      </c>
      <c r="J56">
        <v>339</v>
      </c>
      <c r="K56">
        <v>1</v>
      </c>
      <c r="L56">
        <v>339</v>
      </c>
      <c r="M56" t="s">
        <v>138</v>
      </c>
      <c r="N56" t="s">
        <v>31</v>
      </c>
      <c r="O56" t="s">
        <v>32</v>
      </c>
      <c r="P56">
        <v>29</v>
      </c>
    </row>
    <row r="57" spans="1:16" x14ac:dyDescent="0.3">
      <c r="A57" t="s">
        <v>260</v>
      </c>
      <c r="B57" t="s">
        <v>261</v>
      </c>
      <c r="C57" t="str">
        <f t="shared" si="0"/>
        <v>February</v>
      </c>
      <c r="D57">
        <f t="shared" si="1"/>
        <v>2024</v>
      </c>
      <c r="E57" t="s">
        <v>262</v>
      </c>
      <c r="F57" t="s">
        <v>263</v>
      </c>
      <c r="G57" t="s">
        <v>20</v>
      </c>
      <c r="H57" t="s">
        <v>38</v>
      </c>
      <c r="I57" t="s">
        <v>130</v>
      </c>
      <c r="J57">
        <v>638</v>
      </c>
      <c r="K57">
        <v>4</v>
      </c>
      <c r="L57">
        <v>2552</v>
      </c>
      <c r="M57" t="s">
        <v>23</v>
      </c>
      <c r="N57" t="s">
        <v>31</v>
      </c>
      <c r="O57" t="s">
        <v>125</v>
      </c>
      <c r="P57">
        <v>6</v>
      </c>
    </row>
    <row r="58" spans="1:16" x14ac:dyDescent="0.3">
      <c r="A58" t="s">
        <v>264</v>
      </c>
      <c r="B58" t="s">
        <v>265</v>
      </c>
      <c r="C58" t="str">
        <f t="shared" si="0"/>
        <v>March</v>
      </c>
      <c r="D58">
        <f t="shared" si="1"/>
        <v>2024</v>
      </c>
      <c r="E58" t="s">
        <v>266</v>
      </c>
      <c r="F58" t="s">
        <v>267</v>
      </c>
      <c r="G58" t="s">
        <v>20</v>
      </c>
      <c r="H58" t="s">
        <v>71</v>
      </c>
      <c r="I58" t="s">
        <v>124</v>
      </c>
      <c r="J58">
        <v>865</v>
      </c>
      <c r="K58">
        <v>5</v>
      </c>
      <c r="L58">
        <v>4325</v>
      </c>
      <c r="M58" t="s">
        <v>54</v>
      </c>
      <c r="N58" t="s">
        <v>40</v>
      </c>
      <c r="O58" t="s">
        <v>32</v>
      </c>
      <c r="P58">
        <v>4</v>
      </c>
    </row>
    <row r="59" spans="1:16" x14ac:dyDescent="0.3">
      <c r="A59" t="s">
        <v>268</v>
      </c>
      <c r="B59" t="s">
        <v>269</v>
      </c>
      <c r="C59" t="str">
        <f t="shared" si="0"/>
        <v>July</v>
      </c>
      <c r="D59">
        <f t="shared" si="1"/>
        <v>2025</v>
      </c>
      <c r="E59" t="s">
        <v>270</v>
      </c>
      <c r="F59" t="s">
        <v>271</v>
      </c>
      <c r="G59" t="s">
        <v>20</v>
      </c>
      <c r="H59" t="s">
        <v>71</v>
      </c>
      <c r="I59" t="s">
        <v>119</v>
      </c>
      <c r="J59">
        <v>1323</v>
      </c>
      <c r="K59">
        <v>5</v>
      </c>
      <c r="L59">
        <v>6615</v>
      </c>
      <c r="M59" t="s">
        <v>138</v>
      </c>
      <c r="N59" t="s">
        <v>24</v>
      </c>
      <c r="O59" t="s">
        <v>84</v>
      </c>
      <c r="P59">
        <v>26</v>
      </c>
    </row>
    <row r="60" spans="1:16" x14ac:dyDescent="0.3">
      <c r="A60" t="s">
        <v>272</v>
      </c>
      <c r="B60" t="s">
        <v>273</v>
      </c>
      <c r="C60" t="str">
        <f t="shared" si="0"/>
        <v>April</v>
      </c>
      <c r="D60">
        <f t="shared" si="1"/>
        <v>2024</v>
      </c>
      <c r="E60" t="s">
        <v>274</v>
      </c>
      <c r="F60" t="s">
        <v>275</v>
      </c>
      <c r="G60" t="s">
        <v>20</v>
      </c>
      <c r="H60" t="s">
        <v>21</v>
      </c>
      <c r="I60" t="s">
        <v>77</v>
      </c>
      <c r="J60">
        <v>256</v>
      </c>
      <c r="K60">
        <v>4</v>
      </c>
      <c r="L60">
        <v>1024</v>
      </c>
      <c r="M60" t="s">
        <v>30</v>
      </c>
      <c r="N60" t="s">
        <v>40</v>
      </c>
      <c r="O60" t="s">
        <v>125</v>
      </c>
      <c r="P60">
        <v>22</v>
      </c>
    </row>
    <row r="61" spans="1:16" x14ac:dyDescent="0.3">
      <c r="A61" t="s">
        <v>276</v>
      </c>
      <c r="B61" t="s">
        <v>269</v>
      </c>
      <c r="C61" t="str">
        <f t="shared" si="0"/>
        <v>July</v>
      </c>
      <c r="D61">
        <f t="shared" si="1"/>
        <v>2025</v>
      </c>
      <c r="E61" t="s">
        <v>277</v>
      </c>
      <c r="F61" t="s">
        <v>278</v>
      </c>
      <c r="G61" t="s">
        <v>37</v>
      </c>
      <c r="H61" t="s">
        <v>38</v>
      </c>
      <c r="I61" t="s">
        <v>39</v>
      </c>
      <c r="J61">
        <v>1419</v>
      </c>
      <c r="K61">
        <v>4</v>
      </c>
      <c r="L61">
        <v>5676</v>
      </c>
      <c r="M61" t="s">
        <v>61</v>
      </c>
      <c r="N61" t="s">
        <v>40</v>
      </c>
      <c r="O61" t="s">
        <v>55</v>
      </c>
      <c r="P61">
        <v>2</v>
      </c>
    </row>
    <row r="62" spans="1:16" x14ac:dyDescent="0.3">
      <c r="A62" t="s">
        <v>279</v>
      </c>
      <c r="B62" t="s">
        <v>280</v>
      </c>
      <c r="C62" t="str">
        <f t="shared" si="0"/>
        <v>January</v>
      </c>
      <c r="D62">
        <f t="shared" si="1"/>
        <v>2024</v>
      </c>
      <c r="E62" t="s">
        <v>281</v>
      </c>
      <c r="F62" t="s">
        <v>282</v>
      </c>
      <c r="G62" t="s">
        <v>46</v>
      </c>
      <c r="H62" t="s">
        <v>38</v>
      </c>
      <c r="I62" t="s">
        <v>47</v>
      </c>
      <c r="J62">
        <v>1078</v>
      </c>
      <c r="K62">
        <v>2</v>
      </c>
      <c r="L62">
        <v>2156</v>
      </c>
      <c r="M62" t="s">
        <v>54</v>
      </c>
      <c r="N62" t="s">
        <v>40</v>
      </c>
      <c r="O62" t="s">
        <v>32</v>
      </c>
      <c r="P62">
        <v>26</v>
      </c>
    </row>
    <row r="63" spans="1:16" x14ac:dyDescent="0.3">
      <c r="A63" t="s">
        <v>283</v>
      </c>
      <c r="B63" t="s">
        <v>284</v>
      </c>
      <c r="C63" t="str">
        <f t="shared" si="0"/>
        <v>June</v>
      </c>
      <c r="D63">
        <f t="shared" si="1"/>
        <v>2025</v>
      </c>
      <c r="E63" t="s">
        <v>285</v>
      </c>
      <c r="F63" t="s">
        <v>286</v>
      </c>
      <c r="G63" t="s">
        <v>46</v>
      </c>
      <c r="H63" t="s">
        <v>71</v>
      </c>
      <c r="I63" t="s">
        <v>124</v>
      </c>
      <c r="J63">
        <v>501</v>
      </c>
      <c r="K63">
        <v>5</v>
      </c>
      <c r="L63">
        <v>2505</v>
      </c>
      <c r="M63" t="s">
        <v>23</v>
      </c>
      <c r="N63" t="s">
        <v>24</v>
      </c>
      <c r="O63" t="s">
        <v>32</v>
      </c>
      <c r="P63">
        <v>25</v>
      </c>
    </row>
    <row r="64" spans="1:16" x14ac:dyDescent="0.3">
      <c r="A64" t="s">
        <v>287</v>
      </c>
      <c r="B64" t="s">
        <v>288</v>
      </c>
      <c r="C64" t="str">
        <f t="shared" si="0"/>
        <v>September</v>
      </c>
      <c r="D64">
        <f t="shared" si="1"/>
        <v>2024</v>
      </c>
      <c r="E64" t="s">
        <v>289</v>
      </c>
      <c r="F64" t="s">
        <v>290</v>
      </c>
      <c r="G64" t="s">
        <v>46</v>
      </c>
      <c r="H64" t="s">
        <v>21</v>
      </c>
      <c r="I64" t="s">
        <v>77</v>
      </c>
      <c r="J64">
        <v>1089</v>
      </c>
      <c r="K64">
        <v>3</v>
      </c>
      <c r="L64">
        <v>3267</v>
      </c>
      <c r="M64" t="s">
        <v>61</v>
      </c>
      <c r="N64" t="s">
        <v>31</v>
      </c>
      <c r="O64" t="s">
        <v>25</v>
      </c>
      <c r="P64">
        <v>15</v>
      </c>
    </row>
    <row r="65" spans="1:16" x14ac:dyDescent="0.3">
      <c r="A65" t="s">
        <v>291</v>
      </c>
      <c r="B65" t="s">
        <v>292</v>
      </c>
      <c r="C65" t="str">
        <f t="shared" si="0"/>
        <v>February</v>
      </c>
      <c r="D65">
        <f t="shared" si="1"/>
        <v>2024</v>
      </c>
      <c r="E65" t="s">
        <v>293</v>
      </c>
      <c r="F65" t="s">
        <v>294</v>
      </c>
      <c r="G65" t="s">
        <v>37</v>
      </c>
      <c r="H65" t="s">
        <v>21</v>
      </c>
      <c r="I65" t="s">
        <v>114</v>
      </c>
      <c r="J65">
        <v>1232</v>
      </c>
      <c r="K65">
        <v>5</v>
      </c>
      <c r="L65">
        <v>6160</v>
      </c>
      <c r="M65" t="s">
        <v>23</v>
      </c>
      <c r="N65" t="s">
        <v>40</v>
      </c>
      <c r="O65" t="s">
        <v>41</v>
      </c>
      <c r="P65">
        <v>3</v>
      </c>
    </row>
    <row r="66" spans="1:16" x14ac:dyDescent="0.3">
      <c r="A66" t="s">
        <v>295</v>
      </c>
      <c r="B66" t="s">
        <v>296</v>
      </c>
      <c r="C66" t="str">
        <f t="shared" si="0"/>
        <v>April</v>
      </c>
      <c r="D66">
        <f t="shared" si="1"/>
        <v>2024</v>
      </c>
      <c r="E66" t="s">
        <v>297</v>
      </c>
      <c r="F66" t="s">
        <v>298</v>
      </c>
      <c r="G66" t="s">
        <v>37</v>
      </c>
      <c r="H66" t="s">
        <v>21</v>
      </c>
      <c r="I66" t="s">
        <v>22</v>
      </c>
      <c r="J66">
        <v>1217</v>
      </c>
      <c r="K66">
        <v>5</v>
      </c>
      <c r="L66">
        <v>6085</v>
      </c>
      <c r="M66" t="s">
        <v>30</v>
      </c>
      <c r="N66" t="s">
        <v>24</v>
      </c>
      <c r="O66" t="s">
        <v>41</v>
      </c>
      <c r="P66">
        <v>3</v>
      </c>
    </row>
    <row r="67" spans="1:16" x14ac:dyDescent="0.3">
      <c r="A67" t="s">
        <v>299</v>
      </c>
      <c r="B67" t="s">
        <v>300</v>
      </c>
      <c r="C67" t="str">
        <f t="shared" ref="C67:C130" si="2">TEXT(B67,"MMMM")</f>
        <v>January</v>
      </c>
      <c r="D67">
        <f t="shared" ref="D67:D130" si="3">YEAR(B67)</f>
        <v>2025</v>
      </c>
      <c r="E67" t="s">
        <v>301</v>
      </c>
      <c r="F67" t="s">
        <v>302</v>
      </c>
      <c r="G67" t="s">
        <v>37</v>
      </c>
      <c r="H67" t="s">
        <v>21</v>
      </c>
      <c r="I67" t="s">
        <v>114</v>
      </c>
      <c r="J67">
        <v>985</v>
      </c>
      <c r="K67">
        <v>3</v>
      </c>
      <c r="L67">
        <v>2955</v>
      </c>
      <c r="M67" t="s">
        <v>30</v>
      </c>
      <c r="N67" t="s">
        <v>24</v>
      </c>
      <c r="O67" t="s">
        <v>32</v>
      </c>
      <c r="P67">
        <v>13</v>
      </c>
    </row>
    <row r="68" spans="1:16" x14ac:dyDescent="0.3">
      <c r="A68" t="s">
        <v>303</v>
      </c>
      <c r="B68" t="s">
        <v>304</v>
      </c>
      <c r="C68" t="str">
        <f t="shared" si="2"/>
        <v>July</v>
      </c>
      <c r="D68">
        <f t="shared" si="3"/>
        <v>2024</v>
      </c>
      <c r="E68" t="s">
        <v>305</v>
      </c>
      <c r="F68" t="s">
        <v>306</v>
      </c>
      <c r="G68" t="s">
        <v>46</v>
      </c>
      <c r="H68" t="s">
        <v>38</v>
      </c>
      <c r="I68" t="s">
        <v>60</v>
      </c>
      <c r="J68">
        <v>1047</v>
      </c>
      <c r="K68">
        <v>2</v>
      </c>
      <c r="L68">
        <v>2094</v>
      </c>
      <c r="M68" t="s">
        <v>61</v>
      </c>
      <c r="N68" t="s">
        <v>24</v>
      </c>
      <c r="O68" t="s">
        <v>78</v>
      </c>
      <c r="P68">
        <v>0</v>
      </c>
    </row>
    <row r="69" spans="1:16" x14ac:dyDescent="0.3">
      <c r="A69" t="s">
        <v>307</v>
      </c>
      <c r="B69" t="s">
        <v>308</v>
      </c>
      <c r="C69" t="str">
        <f t="shared" si="2"/>
        <v>June</v>
      </c>
      <c r="D69">
        <f t="shared" si="3"/>
        <v>2024</v>
      </c>
      <c r="E69" t="s">
        <v>112</v>
      </c>
      <c r="F69" t="s">
        <v>309</v>
      </c>
      <c r="G69" t="s">
        <v>46</v>
      </c>
      <c r="H69" t="s">
        <v>71</v>
      </c>
      <c r="I69" t="s">
        <v>119</v>
      </c>
      <c r="J69">
        <v>274</v>
      </c>
      <c r="K69">
        <v>2</v>
      </c>
      <c r="L69">
        <v>548</v>
      </c>
      <c r="M69" t="s">
        <v>23</v>
      </c>
      <c r="N69" t="s">
        <v>24</v>
      </c>
      <c r="O69" t="s">
        <v>84</v>
      </c>
      <c r="P69">
        <v>6</v>
      </c>
    </row>
    <row r="70" spans="1:16" x14ac:dyDescent="0.3">
      <c r="A70" t="s">
        <v>310</v>
      </c>
      <c r="B70" t="s">
        <v>311</v>
      </c>
      <c r="C70" t="str">
        <f t="shared" si="2"/>
        <v>March</v>
      </c>
      <c r="D70">
        <f t="shared" si="3"/>
        <v>2024</v>
      </c>
      <c r="E70" t="s">
        <v>312</v>
      </c>
      <c r="F70" t="s">
        <v>313</v>
      </c>
      <c r="G70" t="s">
        <v>20</v>
      </c>
      <c r="H70" t="s">
        <v>21</v>
      </c>
      <c r="I70" t="s">
        <v>114</v>
      </c>
      <c r="J70">
        <v>638</v>
      </c>
      <c r="K70">
        <v>4</v>
      </c>
      <c r="L70">
        <v>2552</v>
      </c>
      <c r="M70" t="s">
        <v>54</v>
      </c>
      <c r="N70" t="s">
        <v>31</v>
      </c>
      <c r="O70" t="s">
        <v>32</v>
      </c>
      <c r="P70">
        <v>4</v>
      </c>
    </row>
    <row r="71" spans="1:16" x14ac:dyDescent="0.3">
      <c r="A71" t="s">
        <v>314</v>
      </c>
      <c r="B71" t="s">
        <v>315</v>
      </c>
      <c r="C71" t="str">
        <f t="shared" si="2"/>
        <v>July</v>
      </c>
      <c r="D71">
        <f t="shared" si="3"/>
        <v>2024</v>
      </c>
      <c r="E71" t="s">
        <v>316</v>
      </c>
      <c r="F71" t="s">
        <v>317</v>
      </c>
      <c r="G71" t="s">
        <v>37</v>
      </c>
      <c r="H71" t="s">
        <v>38</v>
      </c>
      <c r="I71" t="s">
        <v>47</v>
      </c>
      <c r="J71">
        <v>484</v>
      </c>
      <c r="K71">
        <v>3</v>
      </c>
      <c r="L71">
        <v>1452</v>
      </c>
      <c r="M71" t="s">
        <v>54</v>
      </c>
      <c r="N71" t="s">
        <v>48</v>
      </c>
      <c r="O71" t="s">
        <v>78</v>
      </c>
      <c r="P71">
        <v>8</v>
      </c>
    </row>
    <row r="72" spans="1:16" x14ac:dyDescent="0.3">
      <c r="A72" t="s">
        <v>318</v>
      </c>
      <c r="B72" t="s">
        <v>319</v>
      </c>
      <c r="C72" t="str">
        <f t="shared" si="2"/>
        <v>February</v>
      </c>
      <c r="D72">
        <f t="shared" si="3"/>
        <v>2024</v>
      </c>
      <c r="E72" t="s">
        <v>320</v>
      </c>
      <c r="F72" t="s">
        <v>321</v>
      </c>
      <c r="G72" t="s">
        <v>20</v>
      </c>
      <c r="H72" t="s">
        <v>71</v>
      </c>
      <c r="I72" t="s">
        <v>124</v>
      </c>
      <c r="J72">
        <v>1225</v>
      </c>
      <c r="K72">
        <v>4</v>
      </c>
      <c r="L72">
        <v>4900</v>
      </c>
      <c r="M72" t="s">
        <v>54</v>
      </c>
      <c r="N72" t="s">
        <v>31</v>
      </c>
      <c r="O72" t="s">
        <v>62</v>
      </c>
      <c r="P72">
        <v>27</v>
      </c>
    </row>
    <row r="73" spans="1:16" x14ac:dyDescent="0.3">
      <c r="A73" t="s">
        <v>322</v>
      </c>
      <c r="B73" t="s">
        <v>323</v>
      </c>
      <c r="C73" t="str">
        <f t="shared" si="2"/>
        <v>February</v>
      </c>
      <c r="D73">
        <f t="shared" si="3"/>
        <v>2025</v>
      </c>
      <c r="E73" t="s">
        <v>324</v>
      </c>
      <c r="F73" t="s">
        <v>123</v>
      </c>
      <c r="G73" t="s">
        <v>46</v>
      </c>
      <c r="H73" t="s">
        <v>38</v>
      </c>
      <c r="I73" t="s">
        <v>325</v>
      </c>
      <c r="J73">
        <v>695</v>
      </c>
      <c r="K73">
        <v>3</v>
      </c>
      <c r="L73">
        <v>2085</v>
      </c>
      <c r="M73" t="s">
        <v>23</v>
      </c>
      <c r="N73" t="s">
        <v>31</v>
      </c>
      <c r="O73" t="s">
        <v>84</v>
      </c>
      <c r="P73">
        <v>21</v>
      </c>
    </row>
    <row r="74" spans="1:16" x14ac:dyDescent="0.3">
      <c r="A74" t="s">
        <v>326</v>
      </c>
      <c r="B74" t="s">
        <v>327</v>
      </c>
      <c r="C74" t="str">
        <f t="shared" si="2"/>
        <v>January</v>
      </c>
      <c r="D74">
        <f t="shared" si="3"/>
        <v>2025</v>
      </c>
      <c r="E74" t="s">
        <v>328</v>
      </c>
      <c r="F74" t="s">
        <v>329</v>
      </c>
      <c r="G74" t="s">
        <v>46</v>
      </c>
      <c r="H74" t="s">
        <v>71</v>
      </c>
      <c r="I74" t="s">
        <v>119</v>
      </c>
      <c r="J74">
        <v>341</v>
      </c>
      <c r="K74">
        <v>3</v>
      </c>
      <c r="L74">
        <v>1023</v>
      </c>
      <c r="M74" t="s">
        <v>138</v>
      </c>
      <c r="N74" t="s">
        <v>31</v>
      </c>
      <c r="O74" t="s">
        <v>125</v>
      </c>
      <c r="P74">
        <v>7</v>
      </c>
    </row>
    <row r="75" spans="1:16" x14ac:dyDescent="0.3">
      <c r="A75" t="s">
        <v>330</v>
      </c>
      <c r="B75" t="s">
        <v>331</v>
      </c>
      <c r="C75" t="str">
        <f t="shared" si="2"/>
        <v>December</v>
      </c>
      <c r="D75">
        <f t="shared" si="3"/>
        <v>2024</v>
      </c>
      <c r="E75" t="s">
        <v>332</v>
      </c>
      <c r="F75" t="s">
        <v>333</v>
      </c>
      <c r="G75" t="s">
        <v>37</v>
      </c>
      <c r="H75" t="s">
        <v>38</v>
      </c>
      <c r="I75" t="s">
        <v>39</v>
      </c>
      <c r="J75">
        <v>308</v>
      </c>
      <c r="K75">
        <v>3</v>
      </c>
      <c r="L75">
        <v>924</v>
      </c>
      <c r="M75" t="s">
        <v>23</v>
      </c>
      <c r="N75" t="s">
        <v>48</v>
      </c>
      <c r="O75" t="s">
        <v>78</v>
      </c>
      <c r="P75">
        <v>16</v>
      </c>
    </row>
    <row r="76" spans="1:16" x14ac:dyDescent="0.3">
      <c r="A76" t="s">
        <v>334</v>
      </c>
      <c r="B76" t="s">
        <v>335</v>
      </c>
      <c r="C76" t="str">
        <f t="shared" si="2"/>
        <v>June</v>
      </c>
      <c r="D76">
        <f t="shared" si="3"/>
        <v>2025</v>
      </c>
      <c r="E76" t="s">
        <v>217</v>
      </c>
      <c r="F76" t="s">
        <v>275</v>
      </c>
      <c r="G76" t="s">
        <v>37</v>
      </c>
      <c r="H76" t="s">
        <v>71</v>
      </c>
      <c r="I76" t="s">
        <v>83</v>
      </c>
      <c r="J76">
        <v>202</v>
      </c>
      <c r="K76">
        <v>5</v>
      </c>
      <c r="L76">
        <v>1010</v>
      </c>
      <c r="M76" t="s">
        <v>54</v>
      </c>
      <c r="N76" t="s">
        <v>31</v>
      </c>
      <c r="O76" t="s">
        <v>84</v>
      </c>
      <c r="P76">
        <v>5</v>
      </c>
    </row>
    <row r="77" spans="1:16" x14ac:dyDescent="0.3">
      <c r="A77" t="s">
        <v>336</v>
      </c>
      <c r="B77" t="s">
        <v>337</v>
      </c>
      <c r="C77" t="str">
        <f t="shared" si="2"/>
        <v>March</v>
      </c>
      <c r="D77">
        <f t="shared" si="3"/>
        <v>2024</v>
      </c>
      <c r="E77" t="s">
        <v>338</v>
      </c>
      <c r="F77" t="s">
        <v>339</v>
      </c>
      <c r="G77" t="s">
        <v>46</v>
      </c>
      <c r="H77" t="s">
        <v>71</v>
      </c>
      <c r="I77" t="s">
        <v>124</v>
      </c>
      <c r="J77">
        <v>1394</v>
      </c>
      <c r="K77">
        <v>1</v>
      </c>
      <c r="L77">
        <v>1394</v>
      </c>
      <c r="M77" t="s">
        <v>138</v>
      </c>
      <c r="N77" t="s">
        <v>24</v>
      </c>
      <c r="O77" t="s">
        <v>125</v>
      </c>
      <c r="P77">
        <v>29</v>
      </c>
    </row>
    <row r="78" spans="1:16" x14ac:dyDescent="0.3">
      <c r="A78" t="s">
        <v>340</v>
      </c>
      <c r="B78" t="s">
        <v>341</v>
      </c>
      <c r="C78" t="str">
        <f t="shared" si="2"/>
        <v>August</v>
      </c>
      <c r="D78">
        <f t="shared" si="3"/>
        <v>2024</v>
      </c>
      <c r="E78" t="s">
        <v>342</v>
      </c>
      <c r="F78" t="s">
        <v>343</v>
      </c>
      <c r="G78" t="s">
        <v>46</v>
      </c>
      <c r="H78" t="s">
        <v>71</v>
      </c>
      <c r="I78" t="s">
        <v>72</v>
      </c>
      <c r="J78">
        <v>244</v>
      </c>
      <c r="K78">
        <v>1</v>
      </c>
      <c r="L78">
        <v>244</v>
      </c>
      <c r="M78" t="s">
        <v>138</v>
      </c>
      <c r="N78" t="s">
        <v>40</v>
      </c>
      <c r="O78" t="s">
        <v>55</v>
      </c>
      <c r="P78">
        <v>30</v>
      </c>
    </row>
    <row r="79" spans="1:16" x14ac:dyDescent="0.3">
      <c r="A79" t="s">
        <v>344</v>
      </c>
      <c r="B79" t="s">
        <v>345</v>
      </c>
      <c r="C79" t="str">
        <f t="shared" si="2"/>
        <v>April</v>
      </c>
      <c r="D79">
        <f t="shared" si="3"/>
        <v>2024</v>
      </c>
      <c r="E79" t="s">
        <v>346</v>
      </c>
      <c r="F79" t="s">
        <v>347</v>
      </c>
      <c r="G79" t="s">
        <v>20</v>
      </c>
      <c r="H79" t="s">
        <v>21</v>
      </c>
      <c r="I79" t="s">
        <v>53</v>
      </c>
      <c r="J79">
        <v>459</v>
      </c>
      <c r="K79">
        <v>5</v>
      </c>
      <c r="L79">
        <v>2295</v>
      </c>
      <c r="M79" t="s">
        <v>61</v>
      </c>
      <c r="N79" t="s">
        <v>48</v>
      </c>
      <c r="O79" t="s">
        <v>41</v>
      </c>
      <c r="P79">
        <v>26</v>
      </c>
    </row>
    <row r="80" spans="1:16" x14ac:dyDescent="0.3">
      <c r="A80" t="s">
        <v>348</v>
      </c>
      <c r="B80" t="s">
        <v>349</v>
      </c>
      <c r="C80" t="str">
        <f t="shared" si="2"/>
        <v>October</v>
      </c>
      <c r="D80">
        <f t="shared" si="3"/>
        <v>2024</v>
      </c>
      <c r="E80" t="s">
        <v>350</v>
      </c>
      <c r="F80" t="s">
        <v>82</v>
      </c>
      <c r="G80" t="s">
        <v>20</v>
      </c>
      <c r="H80" t="s">
        <v>21</v>
      </c>
      <c r="I80" t="s">
        <v>53</v>
      </c>
      <c r="J80">
        <v>440</v>
      </c>
      <c r="K80">
        <v>1</v>
      </c>
      <c r="L80">
        <v>440</v>
      </c>
      <c r="M80" t="s">
        <v>54</v>
      </c>
      <c r="N80" t="s">
        <v>48</v>
      </c>
      <c r="O80" t="s">
        <v>125</v>
      </c>
      <c r="P80">
        <v>7</v>
      </c>
    </row>
    <row r="81" spans="1:16" x14ac:dyDescent="0.3">
      <c r="A81" t="s">
        <v>351</v>
      </c>
      <c r="B81" t="s">
        <v>352</v>
      </c>
      <c r="C81" t="str">
        <f t="shared" si="2"/>
        <v>December</v>
      </c>
      <c r="D81">
        <f t="shared" si="3"/>
        <v>2024</v>
      </c>
      <c r="E81" t="s">
        <v>353</v>
      </c>
      <c r="F81" t="s">
        <v>354</v>
      </c>
      <c r="G81" t="s">
        <v>37</v>
      </c>
      <c r="H81" t="s">
        <v>38</v>
      </c>
      <c r="I81" t="s">
        <v>47</v>
      </c>
      <c r="J81">
        <v>989</v>
      </c>
      <c r="K81">
        <v>3</v>
      </c>
      <c r="L81">
        <v>2967</v>
      </c>
      <c r="M81" t="s">
        <v>30</v>
      </c>
      <c r="N81" t="s">
        <v>48</v>
      </c>
      <c r="O81" t="s">
        <v>55</v>
      </c>
      <c r="P81">
        <v>21</v>
      </c>
    </row>
    <row r="82" spans="1:16" x14ac:dyDescent="0.3">
      <c r="A82" t="s">
        <v>355</v>
      </c>
      <c r="B82" t="s">
        <v>356</v>
      </c>
      <c r="C82" t="str">
        <f t="shared" si="2"/>
        <v>April</v>
      </c>
      <c r="D82">
        <f t="shared" si="3"/>
        <v>2024</v>
      </c>
      <c r="E82" t="s">
        <v>357</v>
      </c>
      <c r="F82" t="s">
        <v>358</v>
      </c>
      <c r="G82" t="s">
        <v>37</v>
      </c>
      <c r="H82" t="s">
        <v>38</v>
      </c>
      <c r="I82" t="s">
        <v>60</v>
      </c>
      <c r="J82">
        <v>782</v>
      </c>
      <c r="K82">
        <v>3</v>
      </c>
      <c r="L82">
        <v>2346</v>
      </c>
      <c r="M82" t="s">
        <v>54</v>
      </c>
      <c r="N82" t="s">
        <v>31</v>
      </c>
      <c r="O82" t="s">
        <v>62</v>
      </c>
      <c r="P82">
        <v>4</v>
      </c>
    </row>
    <row r="83" spans="1:16" x14ac:dyDescent="0.3">
      <c r="A83" t="s">
        <v>359</v>
      </c>
      <c r="B83" t="s">
        <v>360</v>
      </c>
      <c r="C83" t="str">
        <f t="shared" si="2"/>
        <v>June</v>
      </c>
      <c r="D83">
        <f t="shared" si="3"/>
        <v>2025</v>
      </c>
      <c r="E83" t="s">
        <v>361</v>
      </c>
      <c r="F83" t="s">
        <v>150</v>
      </c>
      <c r="G83" t="s">
        <v>46</v>
      </c>
      <c r="H83" t="s">
        <v>38</v>
      </c>
      <c r="I83" t="s">
        <v>130</v>
      </c>
      <c r="J83">
        <v>238</v>
      </c>
      <c r="K83">
        <v>5</v>
      </c>
      <c r="L83">
        <v>1190</v>
      </c>
      <c r="M83" t="s">
        <v>61</v>
      </c>
      <c r="N83" t="s">
        <v>24</v>
      </c>
      <c r="O83" t="s">
        <v>84</v>
      </c>
      <c r="P83">
        <v>1</v>
      </c>
    </row>
    <row r="84" spans="1:16" x14ac:dyDescent="0.3">
      <c r="A84" t="s">
        <v>362</v>
      </c>
      <c r="B84" t="s">
        <v>363</v>
      </c>
      <c r="C84" t="str">
        <f t="shared" si="2"/>
        <v>January</v>
      </c>
      <c r="D84">
        <f t="shared" si="3"/>
        <v>2025</v>
      </c>
      <c r="E84" t="s">
        <v>364</v>
      </c>
      <c r="F84" t="s">
        <v>365</v>
      </c>
      <c r="G84" t="s">
        <v>37</v>
      </c>
      <c r="H84" t="s">
        <v>71</v>
      </c>
      <c r="I84" t="s">
        <v>124</v>
      </c>
      <c r="J84">
        <v>707</v>
      </c>
      <c r="K84">
        <v>5</v>
      </c>
      <c r="L84">
        <v>3535</v>
      </c>
      <c r="M84" t="s">
        <v>138</v>
      </c>
      <c r="N84" t="s">
        <v>48</v>
      </c>
      <c r="O84" t="s">
        <v>84</v>
      </c>
      <c r="P84">
        <v>3</v>
      </c>
    </row>
    <row r="85" spans="1:16" x14ac:dyDescent="0.3">
      <c r="A85" t="s">
        <v>366</v>
      </c>
      <c r="B85" t="s">
        <v>367</v>
      </c>
      <c r="C85" t="str">
        <f t="shared" si="2"/>
        <v>June</v>
      </c>
      <c r="D85">
        <f t="shared" si="3"/>
        <v>2024</v>
      </c>
      <c r="E85" t="s">
        <v>368</v>
      </c>
      <c r="F85" t="s">
        <v>369</v>
      </c>
      <c r="G85" t="s">
        <v>37</v>
      </c>
      <c r="H85" t="s">
        <v>21</v>
      </c>
      <c r="I85" t="s">
        <v>53</v>
      </c>
      <c r="J85">
        <v>1016</v>
      </c>
      <c r="K85">
        <v>2</v>
      </c>
      <c r="L85">
        <v>2032</v>
      </c>
      <c r="M85" t="s">
        <v>30</v>
      </c>
      <c r="N85" t="s">
        <v>40</v>
      </c>
      <c r="O85" t="s">
        <v>84</v>
      </c>
      <c r="P85">
        <v>6</v>
      </c>
    </row>
    <row r="86" spans="1:16" x14ac:dyDescent="0.3">
      <c r="A86" t="s">
        <v>370</v>
      </c>
      <c r="B86" t="s">
        <v>371</v>
      </c>
      <c r="C86" t="str">
        <f t="shared" si="2"/>
        <v>April</v>
      </c>
      <c r="D86">
        <f t="shared" si="3"/>
        <v>2024</v>
      </c>
      <c r="E86" t="s">
        <v>372</v>
      </c>
      <c r="F86" t="s">
        <v>373</v>
      </c>
      <c r="G86" t="s">
        <v>37</v>
      </c>
      <c r="H86" t="s">
        <v>71</v>
      </c>
      <c r="I86" t="s">
        <v>124</v>
      </c>
      <c r="J86">
        <v>437</v>
      </c>
      <c r="K86">
        <v>2</v>
      </c>
      <c r="L86">
        <v>874</v>
      </c>
      <c r="M86" t="s">
        <v>138</v>
      </c>
      <c r="N86" t="s">
        <v>48</v>
      </c>
      <c r="O86" t="s">
        <v>25</v>
      </c>
      <c r="P86">
        <v>10</v>
      </c>
    </row>
    <row r="87" spans="1:16" x14ac:dyDescent="0.3">
      <c r="A87" t="s">
        <v>374</v>
      </c>
      <c r="B87" t="s">
        <v>375</v>
      </c>
      <c r="C87" t="str">
        <f t="shared" si="2"/>
        <v>January</v>
      </c>
      <c r="D87">
        <f t="shared" si="3"/>
        <v>2025</v>
      </c>
      <c r="E87" t="s">
        <v>376</v>
      </c>
      <c r="F87" t="s">
        <v>100</v>
      </c>
      <c r="G87" t="s">
        <v>20</v>
      </c>
      <c r="H87" t="s">
        <v>38</v>
      </c>
      <c r="I87" t="s">
        <v>60</v>
      </c>
      <c r="J87">
        <v>468</v>
      </c>
      <c r="K87">
        <v>3</v>
      </c>
      <c r="L87">
        <v>1404</v>
      </c>
      <c r="M87" t="s">
        <v>30</v>
      </c>
      <c r="N87" t="s">
        <v>48</v>
      </c>
      <c r="O87" t="s">
        <v>125</v>
      </c>
      <c r="P87">
        <v>15</v>
      </c>
    </row>
    <row r="88" spans="1:16" x14ac:dyDescent="0.3">
      <c r="A88" t="s">
        <v>377</v>
      </c>
      <c r="B88" t="s">
        <v>378</v>
      </c>
      <c r="C88" t="str">
        <f t="shared" si="2"/>
        <v>March</v>
      </c>
      <c r="D88">
        <f t="shared" si="3"/>
        <v>2024</v>
      </c>
      <c r="E88" t="s">
        <v>379</v>
      </c>
      <c r="F88" t="s">
        <v>380</v>
      </c>
      <c r="G88" t="s">
        <v>37</v>
      </c>
      <c r="H88" t="s">
        <v>21</v>
      </c>
      <c r="I88" t="s">
        <v>109</v>
      </c>
      <c r="J88">
        <v>415</v>
      </c>
      <c r="K88">
        <v>3</v>
      </c>
      <c r="L88">
        <v>1245</v>
      </c>
      <c r="M88" t="s">
        <v>23</v>
      </c>
      <c r="N88" t="s">
        <v>40</v>
      </c>
      <c r="O88" t="s">
        <v>32</v>
      </c>
      <c r="P88">
        <v>22</v>
      </c>
    </row>
    <row r="89" spans="1:16" x14ac:dyDescent="0.3">
      <c r="A89" t="s">
        <v>381</v>
      </c>
      <c r="B89" t="s">
        <v>382</v>
      </c>
      <c r="C89" t="str">
        <f t="shared" si="2"/>
        <v>May</v>
      </c>
      <c r="D89">
        <f t="shared" si="3"/>
        <v>2025</v>
      </c>
      <c r="E89" t="s">
        <v>383</v>
      </c>
      <c r="F89" t="s">
        <v>384</v>
      </c>
      <c r="G89" t="s">
        <v>37</v>
      </c>
      <c r="H89" t="s">
        <v>38</v>
      </c>
      <c r="I89" t="s">
        <v>39</v>
      </c>
      <c r="J89">
        <v>434</v>
      </c>
      <c r="K89">
        <v>2</v>
      </c>
      <c r="L89">
        <v>868</v>
      </c>
      <c r="M89" t="s">
        <v>30</v>
      </c>
      <c r="N89" t="s">
        <v>31</v>
      </c>
      <c r="O89" t="s">
        <v>78</v>
      </c>
      <c r="P89">
        <v>22</v>
      </c>
    </row>
    <row r="90" spans="1:16" x14ac:dyDescent="0.3">
      <c r="A90" t="s">
        <v>385</v>
      </c>
      <c r="B90" t="s">
        <v>386</v>
      </c>
      <c r="C90" t="str">
        <f t="shared" si="2"/>
        <v>August</v>
      </c>
      <c r="D90">
        <f t="shared" si="3"/>
        <v>2024</v>
      </c>
      <c r="E90" t="s">
        <v>387</v>
      </c>
      <c r="F90" t="s">
        <v>388</v>
      </c>
      <c r="G90" t="s">
        <v>46</v>
      </c>
      <c r="H90" t="s">
        <v>71</v>
      </c>
      <c r="I90" t="s">
        <v>124</v>
      </c>
      <c r="J90">
        <v>891</v>
      </c>
      <c r="K90">
        <v>2</v>
      </c>
      <c r="L90">
        <v>1782</v>
      </c>
      <c r="M90" t="s">
        <v>61</v>
      </c>
      <c r="N90" t="s">
        <v>24</v>
      </c>
      <c r="O90" t="s">
        <v>25</v>
      </c>
      <c r="P90">
        <v>23</v>
      </c>
    </row>
    <row r="91" spans="1:16" x14ac:dyDescent="0.3">
      <c r="A91" t="s">
        <v>389</v>
      </c>
      <c r="B91" t="s">
        <v>390</v>
      </c>
      <c r="C91" t="str">
        <f t="shared" si="2"/>
        <v>June</v>
      </c>
      <c r="D91">
        <f t="shared" si="3"/>
        <v>2024</v>
      </c>
      <c r="E91" t="s">
        <v>391</v>
      </c>
      <c r="F91" t="s">
        <v>392</v>
      </c>
      <c r="G91" t="s">
        <v>20</v>
      </c>
      <c r="H91" t="s">
        <v>38</v>
      </c>
      <c r="I91" t="s">
        <v>39</v>
      </c>
      <c r="J91">
        <v>1169</v>
      </c>
      <c r="K91">
        <v>1</v>
      </c>
      <c r="L91">
        <v>1169</v>
      </c>
      <c r="M91" t="s">
        <v>54</v>
      </c>
      <c r="N91" t="s">
        <v>24</v>
      </c>
      <c r="O91" t="s">
        <v>78</v>
      </c>
      <c r="P91">
        <v>26</v>
      </c>
    </row>
    <row r="92" spans="1:16" x14ac:dyDescent="0.3">
      <c r="A92" t="s">
        <v>393</v>
      </c>
      <c r="B92" t="s">
        <v>121</v>
      </c>
      <c r="C92" t="str">
        <f t="shared" si="2"/>
        <v>October</v>
      </c>
      <c r="D92">
        <f t="shared" si="3"/>
        <v>2024</v>
      </c>
      <c r="E92" t="s">
        <v>394</v>
      </c>
      <c r="F92" t="s">
        <v>395</v>
      </c>
      <c r="G92" t="s">
        <v>20</v>
      </c>
      <c r="H92" t="s">
        <v>21</v>
      </c>
      <c r="I92" t="s">
        <v>53</v>
      </c>
      <c r="J92">
        <v>520</v>
      </c>
      <c r="K92">
        <v>3</v>
      </c>
      <c r="L92">
        <v>1560</v>
      </c>
      <c r="M92" t="s">
        <v>54</v>
      </c>
      <c r="N92" t="s">
        <v>24</v>
      </c>
      <c r="O92" t="s">
        <v>125</v>
      </c>
      <c r="P92">
        <v>13</v>
      </c>
    </row>
    <row r="93" spans="1:16" x14ac:dyDescent="0.3">
      <c r="A93" t="s">
        <v>396</v>
      </c>
      <c r="B93" t="s">
        <v>397</v>
      </c>
      <c r="C93" t="str">
        <f t="shared" si="2"/>
        <v>April</v>
      </c>
      <c r="D93">
        <f t="shared" si="3"/>
        <v>2025</v>
      </c>
      <c r="E93" t="s">
        <v>398</v>
      </c>
      <c r="F93" t="s">
        <v>399</v>
      </c>
      <c r="G93" t="s">
        <v>20</v>
      </c>
      <c r="H93" t="s">
        <v>38</v>
      </c>
      <c r="I93" t="s">
        <v>130</v>
      </c>
      <c r="J93">
        <v>768</v>
      </c>
      <c r="K93">
        <v>3</v>
      </c>
      <c r="L93">
        <v>2304</v>
      </c>
      <c r="M93" t="s">
        <v>54</v>
      </c>
      <c r="N93" t="s">
        <v>40</v>
      </c>
      <c r="O93" t="s">
        <v>62</v>
      </c>
      <c r="P93">
        <v>29</v>
      </c>
    </row>
    <row r="94" spans="1:16" x14ac:dyDescent="0.3">
      <c r="A94" t="s">
        <v>400</v>
      </c>
      <c r="B94" t="s">
        <v>401</v>
      </c>
      <c r="C94" t="str">
        <f t="shared" si="2"/>
        <v>April</v>
      </c>
      <c r="D94">
        <f t="shared" si="3"/>
        <v>2024</v>
      </c>
      <c r="E94" t="s">
        <v>402</v>
      </c>
      <c r="F94" t="s">
        <v>187</v>
      </c>
      <c r="G94" t="s">
        <v>37</v>
      </c>
      <c r="H94" t="s">
        <v>38</v>
      </c>
      <c r="I94" t="s">
        <v>47</v>
      </c>
      <c r="J94">
        <v>481</v>
      </c>
      <c r="K94">
        <v>3</v>
      </c>
      <c r="L94">
        <v>1443</v>
      </c>
      <c r="M94" t="s">
        <v>54</v>
      </c>
      <c r="N94" t="s">
        <v>48</v>
      </c>
      <c r="O94" t="s">
        <v>62</v>
      </c>
      <c r="P94">
        <v>26</v>
      </c>
    </row>
    <row r="95" spans="1:16" x14ac:dyDescent="0.3">
      <c r="A95" t="s">
        <v>403</v>
      </c>
      <c r="B95" t="s">
        <v>102</v>
      </c>
      <c r="C95" t="str">
        <f t="shared" si="2"/>
        <v>July</v>
      </c>
      <c r="D95">
        <f t="shared" si="3"/>
        <v>2024</v>
      </c>
      <c r="E95" t="s">
        <v>404</v>
      </c>
      <c r="F95" t="s">
        <v>165</v>
      </c>
      <c r="G95" t="s">
        <v>46</v>
      </c>
      <c r="H95" t="s">
        <v>38</v>
      </c>
      <c r="I95" t="s">
        <v>47</v>
      </c>
      <c r="J95">
        <v>1125</v>
      </c>
      <c r="K95">
        <v>3</v>
      </c>
      <c r="L95">
        <v>3375</v>
      </c>
      <c r="M95" t="s">
        <v>138</v>
      </c>
      <c r="N95" t="s">
        <v>31</v>
      </c>
      <c r="O95" t="s">
        <v>32</v>
      </c>
      <c r="P95">
        <v>11</v>
      </c>
    </row>
    <row r="96" spans="1:16" x14ac:dyDescent="0.3">
      <c r="A96" t="s">
        <v>405</v>
      </c>
      <c r="B96" t="s">
        <v>148</v>
      </c>
      <c r="C96" t="str">
        <f t="shared" si="2"/>
        <v>December</v>
      </c>
      <c r="D96">
        <f t="shared" si="3"/>
        <v>2024</v>
      </c>
      <c r="E96" t="s">
        <v>406</v>
      </c>
      <c r="F96" t="s">
        <v>100</v>
      </c>
      <c r="G96" t="s">
        <v>20</v>
      </c>
      <c r="H96" t="s">
        <v>38</v>
      </c>
      <c r="I96" t="s">
        <v>325</v>
      </c>
      <c r="J96">
        <v>775</v>
      </c>
      <c r="K96">
        <v>1</v>
      </c>
      <c r="L96">
        <v>775</v>
      </c>
      <c r="M96" t="s">
        <v>61</v>
      </c>
      <c r="N96" t="s">
        <v>31</v>
      </c>
      <c r="O96" t="s">
        <v>25</v>
      </c>
      <c r="P96">
        <v>26</v>
      </c>
    </row>
    <row r="97" spans="1:16" x14ac:dyDescent="0.3">
      <c r="A97" t="s">
        <v>407</v>
      </c>
      <c r="B97" t="s">
        <v>408</v>
      </c>
      <c r="C97" t="str">
        <f t="shared" si="2"/>
        <v>May</v>
      </c>
      <c r="D97">
        <f t="shared" si="3"/>
        <v>2024</v>
      </c>
      <c r="E97" t="s">
        <v>141</v>
      </c>
      <c r="F97" t="s">
        <v>409</v>
      </c>
      <c r="G97" t="s">
        <v>20</v>
      </c>
      <c r="H97" t="s">
        <v>38</v>
      </c>
      <c r="I97" t="s">
        <v>39</v>
      </c>
      <c r="J97">
        <v>614</v>
      </c>
      <c r="K97">
        <v>5</v>
      </c>
      <c r="L97">
        <v>3070</v>
      </c>
      <c r="M97" t="s">
        <v>54</v>
      </c>
      <c r="N97" t="s">
        <v>24</v>
      </c>
      <c r="O97" t="s">
        <v>32</v>
      </c>
      <c r="P97">
        <v>15</v>
      </c>
    </row>
    <row r="98" spans="1:16" x14ac:dyDescent="0.3">
      <c r="A98" t="s">
        <v>410</v>
      </c>
      <c r="B98" t="s">
        <v>411</v>
      </c>
      <c r="C98" t="str">
        <f t="shared" si="2"/>
        <v>March</v>
      </c>
      <c r="D98">
        <f t="shared" si="3"/>
        <v>2025</v>
      </c>
      <c r="E98" t="s">
        <v>172</v>
      </c>
      <c r="F98" t="s">
        <v>412</v>
      </c>
      <c r="G98" t="s">
        <v>37</v>
      </c>
      <c r="H98" t="s">
        <v>21</v>
      </c>
      <c r="I98" t="s">
        <v>77</v>
      </c>
      <c r="J98">
        <v>464</v>
      </c>
      <c r="K98">
        <v>2</v>
      </c>
      <c r="L98">
        <v>928</v>
      </c>
      <c r="M98" t="s">
        <v>54</v>
      </c>
      <c r="N98" t="s">
        <v>48</v>
      </c>
      <c r="O98" t="s">
        <v>78</v>
      </c>
      <c r="P98">
        <v>1</v>
      </c>
    </row>
    <row r="99" spans="1:16" x14ac:dyDescent="0.3">
      <c r="A99" t="s">
        <v>413</v>
      </c>
      <c r="B99" t="s">
        <v>414</v>
      </c>
      <c r="C99" t="str">
        <f t="shared" si="2"/>
        <v>June</v>
      </c>
      <c r="D99">
        <f t="shared" si="3"/>
        <v>2024</v>
      </c>
      <c r="E99" t="s">
        <v>415</v>
      </c>
      <c r="F99" t="s">
        <v>214</v>
      </c>
      <c r="G99" t="s">
        <v>46</v>
      </c>
      <c r="H99" t="s">
        <v>21</v>
      </c>
      <c r="I99" t="s">
        <v>53</v>
      </c>
      <c r="J99">
        <v>237</v>
      </c>
      <c r="K99">
        <v>1</v>
      </c>
      <c r="L99">
        <v>237</v>
      </c>
      <c r="M99" t="s">
        <v>23</v>
      </c>
      <c r="N99" t="s">
        <v>31</v>
      </c>
      <c r="O99" t="s">
        <v>84</v>
      </c>
      <c r="P99">
        <v>15</v>
      </c>
    </row>
    <row r="100" spans="1:16" x14ac:dyDescent="0.3">
      <c r="A100" t="s">
        <v>416</v>
      </c>
      <c r="B100" t="s">
        <v>417</v>
      </c>
      <c r="C100" t="str">
        <f t="shared" si="2"/>
        <v>January</v>
      </c>
      <c r="D100">
        <f t="shared" si="3"/>
        <v>2025</v>
      </c>
      <c r="E100" t="s">
        <v>328</v>
      </c>
      <c r="F100" t="s">
        <v>214</v>
      </c>
      <c r="G100" t="s">
        <v>37</v>
      </c>
      <c r="H100" t="s">
        <v>38</v>
      </c>
      <c r="I100" t="s">
        <v>39</v>
      </c>
      <c r="J100">
        <v>1404</v>
      </c>
      <c r="K100">
        <v>3</v>
      </c>
      <c r="L100">
        <v>4212</v>
      </c>
      <c r="M100" t="s">
        <v>30</v>
      </c>
      <c r="N100" t="s">
        <v>48</v>
      </c>
      <c r="O100" t="s">
        <v>32</v>
      </c>
      <c r="P100">
        <v>21</v>
      </c>
    </row>
    <row r="101" spans="1:16" x14ac:dyDescent="0.3">
      <c r="A101" t="s">
        <v>418</v>
      </c>
      <c r="B101" t="s">
        <v>419</v>
      </c>
      <c r="C101" t="str">
        <f t="shared" si="2"/>
        <v>April</v>
      </c>
      <c r="D101">
        <f t="shared" si="3"/>
        <v>2025</v>
      </c>
      <c r="E101" t="s">
        <v>420</v>
      </c>
      <c r="F101" t="s">
        <v>380</v>
      </c>
      <c r="G101" t="s">
        <v>20</v>
      </c>
      <c r="H101" t="s">
        <v>21</v>
      </c>
      <c r="I101" t="s">
        <v>53</v>
      </c>
      <c r="J101">
        <v>745</v>
      </c>
      <c r="K101">
        <v>3</v>
      </c>
      <c r="L101">
        <v>2235</v>
      </c>
      <c r="M101" t="s">
        <v>30</v>
      </c>
      <c r="N101" t="s">
        <v>48</v>
      </c>
      <c r="O101" t="s">
        <v>25</v>
      </c>
      <c r="P101">
        <v>28</v>
      </c>
    </row>
    <row r="102" spans="1:16" x14ac:dyDescent="0.3">
      <c r="A102" t="s">
        <v>421</v>
      </c>
      <c r="B102" t="s">
        <v>422</v>
      </c>
      <c r="C102" t="str">
        <f t="shared" si="2"/>
        <v>August</v>
      </c>
      <c r="D102">
        <f t="shared" si="3"/>
        <v>2025</v>
      </c>
      <c r="E102" t="s">
        <v>423</v>
      </c>
      <c r="F102" t="s">
        <v>187</v>
      </c>
      <c r="G102" t="s">
        <v>20</v>
      </c>
      <c r="H102" t="s">
        <v>38</v>
      </c>
      <c r="I102" t="s">
        <v>47</v>
      </c>
      <c r="J102">
        <v>1149</v>
      </c>
      <c r="K102">
        <v>5</v>
      </c>
      <c r="L102">
        <v>5745</v>
      </c>
      <c r="M102" t="s">
        <v>54</v>
      </c>
      <c r="N102" t="s">
        <v>24</v>
      </c>
      <c r="O102" t="s">
        <v>32</v>
      </c>
      <c r="P102">
        <v>26</v>
      </c>
    </row>
    <row r="103" spans="1:16" x14ac:dyDescent="0.3">
      <c r="A103" t="s">
        <v>424</v>
      </c>
      <c r="B103" t="s">
        <v>425</v>
      </c>
      <c r="C103" t="str">
        <f t="shared" si="2"/>
        <v>November</v>
      </c>
      <c r="D103">
        <f t="shared" si="3"/>
        <v>2024</v>
      </c>
      <c r="E103" t="s">
        <v>426</v>
      </c>
      <c r="F103" t="s">
        <v>66</v>
      </c>
      <c r="G103" t="s">
        <v>46</v>
      </c>
      <c r="H103" t="s">
        <v>38</v>
      </c>
      <c r="I103" t="s">
        <v>60</v>
      </c>
      <c r="J103">
        <v>1217</v>
      </c>
      <c r="K103">
        <v>1</v>
      </c>
      <c r="L103">
        <v>1217</v>
      </c>
      <c r="M103" t="s">
        <v>138</v>
      </c>
      <c r="N103" t="s">
        <v>40</v>
      </c>
      <c r="O103" t="s">
        <v>32</v>
      </c>
      <c r="P103">
        <v>23</v>
      </c>
    </row>
    <row r="104" spans="1:16" x14ac:dyDescent="0.3">
      <c r="A104" t="s">
        <v>427</v>
      </c>
      <c r="B104" t="s">
        <v>428</v>
      </c>
      <c r="C104" t="str">
        <f t="shared" si="2"/>
        <v>March</v>
      </c>
      <c r="D104">
        <f t="shared" si="3"/>
        <v>2025</v>
      </c>
      <c r="E104" t="s">
        <v>429</v>
      </c>
      <c r="F104" t="s">
        <v>210</v>
      </c>
      <c r="G104" t="s">
        <v>46</v>
      </c>
      <c r="H104" t="s">
        <v>71</v>
      </c>
      <c r="I104" t="s">
        <v>124</v>
      </c>
      <c r="J104">
        <v>737</v>
      </c>
      <c r="K104">
        <v>5</v>
      </c>
      <c r="L104">
        <v>3685</v>
      </c>
      <c r="M104" t="s">
        <v>23</v>
      </c>
      <c r="N104" t="s">
        <v>48</v>
      </c>
      <c r="O104" t="s">
        <v>41</v>
      </c>
      <c r="P104">
        <v>14</v>
      </c>
    </row>
    <row r="105" spans="1:16" x14ac:dyDescent="0.3">
      <c r="A105" t="s">
        <v>430</v>
      </c>
      <c r="B105" t="s">
        <v>431</v>
      </c>
      <c r="C105" t="str">
        <f t="shared" si="2"/>
        <v>December</v>
      </c>
      <c r="D105">
        <f t="shared" si="3"/>
        <v>2024</v>
      </c>
      <c r="E105" t="s">
        <v>324</v>
      </c>
      <c r="F105" t="s">
        <v>432</v>
      </c>
      <c r="G105" t="s">
        <v>46</v>
      </c>
      <c r="H105" t="s">
        <v>71</v>
      </c>
      <c r="I105" t="s">
        <v>124</v>
      </c>
      <c r="J105">
        <v>391</v>
      </c>
      <c r="K105">
        <v>3</v>
      </c>
      <c r="L105">
        <v>1173</v>
      </c>
      <c r="M105" t="s">
        <v>23</v>
      </c>
      <c r="N105" t="s">
        <v>24</v>
      </c>
      <c r="O105" t="s">
        <v>55</v>
      </c>
      <c r="P105">
        <v>25</v>
      </c>
    </row>
    <row r="106" spans="1:16" x14ac:dyDescent="0.3">
      <c r="A106" t="s">
        <v>433</v>
      </c>
      <c r="B106" t="s">
        <v>434</v>
      </c>
      <c r="C106" t="str">
        <f t="shared" si="2"/>
        <v>October</v>
      </c>
      <c r="D106">
        <f t="shared" si="3"/>
        <v>2024</v>
      </c>
      <c r="E106" t="s">
        <v>301</v>
      </c>
      <c r="F106" t="s">
        <v>435</v>
      </c>
      <c r="G106" t="s">
        <v>46</v>
      </c>
      <c r="H106" t="s">
        <v>71</v>
      </c>
      <c r="I106" t="s">
        <v>124</v>
      </c>
      <c r="J106">
        <v>1486</v>
      </c>
      <c r="K106">
        <v>3</v>
      </c>
      <c r="L106">
        <v>4458</v>
      </c>
      <c r="M106" t="s">
        <v>54</v>
      </c>
      <c r="N106" t="s">
        <v>31</v>
      </c>
      <c r="O106" t="s">
        <v>62</v>
      </c>
      <c r="P106">
        <v>27</v>
      </c>
    </row>
    <row r="107" spans="1:16" x14ac:dyDescent="0.3">
      <c r="A107" t="s">
        <v>436</v>
      </c>
      <c r="B107" t="s">
        <v>437</v>
      </c>
      <c r="C107" t="str">
        <f t="shared" si="2"/>
        <v>February</v>
      </c>
      <c r="D107">
        <f t="shared" si="3"/>
        <v>2024</v>
      </c>
      <c r="E107" t="s">
        <v>438</v>
      </c>
      <c r="F107" t="s">
        <v>214</v>
      </c>
      <c r="G107" t="s">
        <v>46</v>
      </c>
      <c r="H107" t="s">
        <v>71</v>
      </c>
      <c r="I107" t="s">
        <v>83</v>
      </c>
      <c r="J107">
        <v>1449</v>
      </c>
      <c r="K107">
        <v>5</v>
      </c>
      <c r="L107">
        <v>7245</v>
      </c>
      <c r="M107" t="s">
        <v>30</v>
      </c>
      <c r="N107" t="s">
        <v>31</v>
      </c>
      <c r="O107" t="s">
        <v>84</v>
      </c>
      <c r="P107">
        <v>4</v>
      </c>
    </row>
    <row r="108" spans="1:16" x14ac:dyDescent="0.3">
      <c r="A108" t="s">
        <v>439</v>
      </c>
      <c r="B108" t="s">
        <v>440</v>
      </c>
      <c r="C108" t="str">
        <f t="shared" si="2"/>
        <v>April</v>
      </c>
      <c r="D108">
        <f t="shared" si="3"/>
        <v>2025</v>
      </c>
      <c r="E108" t="s">
        <v>441</v>
      </c>
      <c r="F108" t="s">
        <v>442</v>
      </c>
      <c r="G108" t="s">
        <v>46</v>
      </c>
      <c r="H108" t="s">
        <v>38</v>
      </c>
      <c r="I108" t="s">
        <v>60</v>
      </c>
      <c r="J108">
        <v>214</v>
      </c>
      <c r="K108">
        <v>2</v>
      </c>
      <c r="L108">
        <v>428</v>
      </c>
      <c r="M108" t="s">
        <v>30</v>
      </c>
      <c r="N108" t="s">
        <v>24</v>
      </c>
      <c r="O108" t="s">
        <v>62</v>
      </c>
      <c r="P108">
        <v>18</v>
      </c>
    </row>
    <row r="109" spans="1:16" x14ac:dyDescent="0.3">
      <c r="A109" t="s">
        <v>443</v>
      </c>
      <c r="B109" t="s">
        <v>444</v>
      </c>
      <c r="C109" t="str">
        <f t="shared" si="2"/>
        <v>November</v>
      </c>
      <c r="D109">
        <f t="shared" si="3"/>
        <v>2024</v>
      </c>
      <c r="E109" t="s">
        <v>445</v>
      </c>
      <c r="F109" t="s">
        <v>154</v>
      </c>
      <c r="G109" t="s">
        <v>46</v>
      </c>
      <c r="H109" t="s">
        <v>71</v>
      </c>
      <c r="I109" t="s">
        <v>124</v>
      </c>
      <c r="J109">
        <v>1099</v>
      </c>
      <c r="K109">
        <v>1</v>
      </c>
      <c r="L109">
        <v>1099</v>
      </c>
      <c r="M109" t="s">
        <v>30</v>
      </c>
      <c r="N109" t="s">
        <v>48</v>
      </c>
      <c r="O109" t="s">
        <v>84</v>
      </c>
      <c r="P109">
        <v>7</v>
      </c>
    </row>
    <row r="110" spans="1:16" x14ac:dyDescent="0.3">
      <c r="A110" t="s">
        <v>446</v>
      </c>
      <c r="B110" t="s">
        <v>447</v>
      </c>
      <c r="C110" t="str">
        <f t="shared" si="2"/>
        <v>April</v>
      </c>
      <c r="D110">
        <f t="shared" si="3"/>
        <v>2024</v>
      </c>
      <c r="E110" t="s">
        <v>448</v>
      </c>
      <c r="F110" t="s">
        <v>449</v>
      </c>
      <c r="G110" t="s">
        <v>46</v>
      </c>
      <c r="H110" t="s">
        <v>71</v>
      </c>
      <c r="I110" t="s">
        <v>96</v>
      </c>
      <c r="J110">
        <v>726</v>
      </c>
      <c r="K110">
        <v>5</v>
      </c>
      <c r="L110">
        <v>3630</v>
      </c>
      <c r="M110" t="s">
        <v>61</v>
      </c>
      <c r="N110" t="s">
        <v>31</v>
      </c>
      <c r="O110" t="s">
        <v>55</v>
      </c>
      <c r="P110">
        <v>1</v>
      </c>
    </row>
    <row r="111" spans="1:16" x14ac:dyDescent="0.3">
      <c r="A111" t="s">
        <v>450</v>
      </c>
      <c r="B111" t="s">
        <v>451</v>
      </c>
      <c r="C111" t="str">
        <f t="shared" si="2"/>
        <v>January</v>
      </c>
      <c r="D111">
        <f t="shared" si="3"/>
        <v>2024</v>
      </c>
      <c r="E111" t="s">
        <v>452</v>
      </c>
      <c r="F111" t="s">
        <v>222</v>
      </c>
      <c r="G111" t="s">
        <v>37</v>
      </c>
      <c r="H111" t="s">
        <v>21</v>
      </c>
      <c r="I111" t="s">
        <v>77</v>
      </c>
      <c r="J111">
        <v>859</v>
      </c>
      <c r="K111">
        <v>3</v>
      </c>
      <c r="L111">
        <v>2577</v>
      </c>
      <c r="M111" t="s">
        <v>61</v>
      </c>
      <c r="N111" t="s">
        <v>48</v>
      </c>
      <c r="O111" t="s">
        <v>25</v>
      </c>
      <c r="P111">
        <v>29</v>
      </c>
    </row>
    <row r="112" spans="1:16" x14ac:dyDescent="0.3">
      <c r="A112" t="s">
        <v>453</v>
      </c>
      <c r="B112" t="s">
        <v>454</v>
      </c>
      <c r="C112" t="str">
        <f t="shared" si="2"/>
        <v>October</v>
      </c>
      <c r="D112">
        <f t="shared" si="3"/>
        <v>2024</v>
      </c>
      <c r="E112" t="s">
        <v>455</v>
      </c>
      <c r="F112" t="s">
        <v>306</v>
      </c>
      <c r="G112" t="s">
        <v>37</v>
      </c>
      <c r="H112" t="s">
        <v>21</v>
      </c>
      <c r="I112" t="s">
        <v>109</v>
      </c>
      <c r="J112">
        <v>1002</v>
      </c>
      <c r="K112">
        <v>4</v>
      </c>
      <c r="L112">
        <v>4008</v>
      </c>
      <c r="M112" t="s">
        <v>23</v>
      </c>
      <c r="N112" t="s">
        <v>24</v>
      </c>
      <c r="O112" t="s">
        <v>32</v>
      </c>
      <c r="P112">
        <v>12</v>
      </c>
    </row>
    <row r="113" spans="1:16" x14ac:dyDescent="0.3">
      <c r="A113" t="s">
        <v>456</v>
      </c>
      <c r="B113" t="s">
        <v>457</v>
      </c>
      <c r="C113" t="str">
        <f t="shared" si="2"/>
        <v>June</v>
      </c>
      <c r="D113">
        <f t="shared" si="3"/>
        <v>2025</v>
      </c>
      <c r="E113" t="s">
        <v>458</v>
      </c>
      <c r="F113" t="s">
        <v>459</v>
      </c>
      <c r="G113" t="s">
        <v>46</v>
      </c>
      <c r="H113" t="s">
        <v>71</v>
      </c>
      <c r="I113" t="s">
        <v>72</v>
      </c>
      <c r="J113">
        <v>1293</v>
      </c>
      <c r="K113">
        <v>1</v>
      </c>
      <c r="L113">
        <v>1293</v>
      </c>
      <c r="M113" t="s">
        <v>30</v>
      </c>
      <c r="N113" t="s">
        <v>48</v>
      </c>
      <c r="O113" t="s">
        <v>84</v>
      </c>
      <c r="P113">
        <v>14</v>
      </c>
    </row>
    <row r="114" spans="1:16" x14ac:dyDescent="0.3">
      <c r="A114" t="s">
        <v>460</v>
      </c>
      <c r="B114" t="s">
        <v>461</v>
      </c>
      <c r="C114" t="str">
        <f t="shared" si="2"/>
        <v>February</v>
      </c>
      <c r="D114">
        <f t="shared" si="3"/>
        <v>2025</v>
      </c>
      <c r="E114" t="s">
        <v>462</v>
      </c>
      <c r="F114" t="s">
        <v>463</v>
      </c>
      <c r="G114" t="s">
        <v>37</v>
      </c>
      <c r="H114" t="s">
        <v>21</v>
      </c>
      <c r="I114" t="s">
        <v>53</v>
      </c>
      <c r="J114">
        <v>385</v>
      </c>
      <c r="K114">
        <v>5</v>
      </c>
      <c r="L114">
        <v>1925</v>
      </c>
      <c r="M114" t="s">
        <v>54</v>
      </c>
      <c r="N114" t="s">
        <v>40</v>
      </c>
      <c r="O114" t="s">
        <v>125</v>
      </c>
      <c r="P114">
        <v>3</v>
      </c>
    </row>
    <row r="115" spans="1:16" x14ac:dyDescent="0.3">
      <c r="A115" t="s">
        <v>464</v>
      </c>
      <c r="B115" t="s">
        <v>465</v>
      </c>
      <c r="C115" t="str">
        <f t="shared" si="2"/>
        <v>August</v>
      </c>
      <c r="D115">
        <f t="shared" si="3"/>
        <v>2025</v>
      </c>
      <c r="E115" t="s">
        <v>466</v>
      </c>
      <c r="F115" t="s">
        <v>467</v>
      </c>
      <c r="G115" t="s">
        <v>46</v>
      </c>
      <c r="H115" t="s">
        <v>38</v>
      </c>
      <c r="I115" t="s">
        <v>325</v>
      </c>
      <c r="J115">
        <v>849</v>
      </c>
      <c r="K115">
        <v>3</v>
      </c>
      <c r="L115">
        <v>2547</v>
      </c>
      <c r="M115" t="s">
        <v>23</v>
      </c>
      <c r="N115" t="s">
        <v>31</v>
      </c>
      <c r="O115" t="s">
        <v>62</v>
      </c>
      <c r="P115">
        <v>8</v>
      </c>
    </row>
    <row r="116" spans="1:16" x14ac:dyDescent="0.3">
      <c r="A116" t="s">
        <v>468</v>
      </c>
      <c r="B116" t="s">
        <v>469</v>
      </c>
      <c r="C116" t="str">
        <f t="shared" si="2"/>
        <v>April</v>
      </c>
      <c r="D116">
        <f t="shared" si="3"/>
        <v>2025</v>
      </c>
      <c r="E116" t="s">
        <v>470</v>
      </c>
      <c r="F116" t="s">
        <v>471</v>
      </c>
      <c r="G116" t="s">
        <v>37</v>
      </c>
      <c r="H116" t="s">
        <v>38</v>
      </c>
      <c r="I116" t="s">
        <v>47</v>
      </c>
      <c r="J116">
        <v>1176</v>
      </c>
      <c r="K116">
        <v>4</v>
      </c>
      <c r="L116">
        <v>4704</v>
      </c>
      <c r="M116" t="s">
        <v>138</v>
      </c>
      <c r="N116" t="s">
        <v>40</v>
      </c>
      <c r="O116" t="s">
        <v>84</v>
      </c>
      <c r="P116">
        <v>20</v>
      </c>
    </row>
    <row r="117" spans="1:16" x14ac:dyDescent="0.3">
      <c r="A117" t="s">
        <v>472</v>
      </c>
      <c r="B117" t="s">
        <v>473</v>
      </c>
      <c r="C117" t="str">
        <f t="shared" si="2"/>
        <v>August</v>
      </c>
      <c r="D117">
        <f t="shared" si="3"/>
        <v>2025</v>
      </c>
      <c r="E117" t="s">
        <v>474</v>
      </c>
      <c r="F117" t="s">
        <v>475</v>
      </c>
      <c r="G117" t="s">
        <v>37</v>
      </c>
      <c r="H117" t="s">
        <v>71</v>
      </c>
      <c r="I117" t="s">
        <v>72</v>
      </c>
      <c r="J117">
        <v>932</v>
      </c>
      <c r="K117">
        <v>5</v>
      </c>
      <c r="L117">
        <v>4660</v>
      </c>
      <c r="M117" t="s">
        <v>30</v>
      </c>
      <c r="N117" t="s">
        <v>48</v>
      </c>
      <c r="O117" t="s">
        <v>32</v>
      </c>
      <c r="P117">
        <v>28</v>
      </c>
    </row>
    <row r="118" spans="1:16" x14ac:dyDescent="0.3">
      <c r="A118" t="s">
        <v>476</v>
      </c>
      <c r="B118" t="s">
        <v>477</v>
      </c>
      <c r="C118" t="str">
        <f t="shared" si="2"/>
        <v>June</v>
      </c>
      <c r="D118">
        <f t="shared" si="3"/>
        <v>2025</v>
      </c>
      <c r="E118" t="s">
        <v>478</v>
      </c>
      <c r="F118" t="s">
        <v>129</v>
      </c>
      <c r="G118" t="s">
        <v>37</v>
      </c>
      <c r="H118" t="s">
        <v>38</v>
      </c>
      <c r="I118" t="s">
        <v>39</v>
      </c>
      <c r="J118">
        <v>1167</v>
      </c>
      <c r="K118">
        <v>1</v>
      </c>
      <c r="L118">
        <v>1167</v>
      </c>
      <c r="M118" t="s">
        <v>61</v>
      </c>
      <c r="N118" t="s">
        <v>31</v>
      </c>
      <c r="O118" t="s">
        <v>32</v>
      </c>
      <c r="P118">
        <v>16</v>
      </c>
    </row>
    <row r="119" spans="1:16" x14ac:dyDescent="0.3">
      <c r="A119" t="s">
        <v>479</v>
      </c>
      <c r="B119" t="s">
        <v>480</v>
      </c>
      <c r="C119" t="str">
        <f t="shared" si="2"/>
        <v>November</v>
      </c>
      <c r="D119">
        <f t="shared" si="3"/>
        <v>2024</v>
      </c>
      <c r="E119" t="s">
        <v>481</v>
      </c>
      <c r="F119" t="s">
        <v>482</v>
      </c>
      <c r="G119" t="s">
        <v>20</v>
      </c>
      <c r="H119" t="s">
        <v>38</v>
      </c>
      <c r="I119" t="s">
        <v>130</v>
      </c>
      <c r="J119">
        <v>1480</v>
      </c>
      <c r="K119">
        <v>1</v>
      </c>
      <c r="L119">
        <v>1480</v>
      </c>
      <c r="M119" t="s">
        <v>54</v>
      </c>
      <c r="N119" t="s">
        <v>24</v>
      </c>
      <c r="O119" t="s">
        <v>62</v>
      </c>
      <c r="P119">
        <v>15</v>
      </c>
    </row>
    <row r="120" spans="1:16" x14ac:dyDescent="0.3">
      <c r="A120" t="s">
        <v>483</v>
      </c>
      <c r="B120" t="s">
        <v>484</v>
      </c>
      <c r="C120" t="str">
        <f t="shared" si="2"/>
        <v>January</v>
      </c>
      <c r="D120">
        <f t="shared" si="3"/>
        <v>2025</v>
      </c>
      <c r="E120" t="s">
        <v>485</v>
      </c>
      <c r="F120" t="s">
        <v>486</v>
      </c>
      <c r="G120" t="s">
        <v>37</v>
      </c>
      <c r="H120" t="s">
        <v>71</v>
      </c>
      <c r="I120" t="s">
        <v>96</v>
      </c>
      <c r="J120">
        <v>696</v>
      </c>
      <c r="K120">
        <v>3</v>
      </c>
      <c r="L120">
        <v>2088</v>
      </c>
      <c r="M120" t="s">
        <v>54</v>
      </c>
      <c r="N120" t="s">
        <v>40</v>
      </c>
      <c r="O120" t="s">
        <v>41</v>
      </c>
      <c r="P120">
        <v>2</v>
      </c>
    </row>
    <row r="121" spans="1:16" x14ac:dyDescent="0.3">
      <c r="A121" t="s">
        <v>487</v>
      </c>
      <c r="B121" t="s">
        <v>488</v>
      </c>
      <c r="C121" t="str">
        <f t="shared" si="2"/>
        <v>December</v>
      </c>
      <c r="D121">
        <f t="shared" si="3"/>
        <v>2024</v>
      </c>
      <c r="E121" t="s">
        <v>489</v>
      </c>
      <c r="F121" t="s">
        <v>369</v>
      </c>
      <c r="G121" t="s">
        <v>20</v>
      </c>
      <c r="H121" t="s">
        <v>71</v>
      </c>
      <c r="I121" t="s">
        <v>124</v>
      </c>
      <c r="J121">
        <v>586</v>
      </c>
      <c r="K121">
        <v>2</v>
      </c>
      <c r="L121">
        <v>1172</v>
      </c>
      <c r="M121" t="s">
        <v>54</v>
      </c>
      <c r="N121" t="s">
        <v>24</v>
      </c>
      <c r="O121" t="s">
        <v>125</v>
      </c>
      <c r="P121">
        <v>11</v>
      </c>
    </row>
    <row r="122" spans="1:16" x14ac:dyDescent="0.3">
      <c r="A122" t="s">
        <v>490</v>
      </c>
      <c r="B122" t="s">
        <v>491</v>
      </c>
      <c r="C122" t="str">
        <f t="shared" si="2"/>
        <v>August</v>
      </c>
      <c r="D122">
        <f t="shared" si="3"/>
        <v>2024</v>
      </c>
      <c r="E122" t="s">
        <v>492</v>
      </c>
      <c r="F122" t="s">
        <v>493</v>
      </c>
      <c r="G122" t="s">
        <v>20</v>
      </c>
      <c r="H122" t="s">
        <v>38</v>
      </c>
      <c r="I122" t="s">
        <v>47</v>
      </c>
      <c r="J122">
        <v>381</v>
      </c>
      <c r="K122">
        <v>3</v>
      </c>
      <c r="L122">
        <v>1143</v>
      </c>
      <c r="M122" t="s">
        <v>23</v>
      </c>
      <c r="N122" t="s">
        <v>48</v>
      </c>
      <c r="O122" t="s">
        <v>41</v>
      </c>
      <c r="P122">
        <v>29</v>
      </c>
    </row>
    <row r="123" spans="1:16" x14ac:dyDescent="0.3">
      <c r="A123" t="s">
        <v>494</v>
      </c>
      <c r="B123" t="s">
        <v>121</v>
      </c>
      <c r="C123" t="str">
        <f t="shared" si="2"/>
        <v>October</v>
      </c>
      <c r="D123">
        <f t="shared" si="3"/>
        <v>2024</v>
      </c>
      <c r="E123" t="s">
        <v>81</v>
      </c>
      <c r="F123" t="s">
        <v>165</v>
      </c>
      <c r="G123" t="s">
        <v>20</v>
      </c>
      <c r="H123" t="s">
        <v>38</v>
      </c>
      <c r="I123" t="s">
        <v>47</v>
      </c>
      <c r="J123">
        <v>1226</v>
      </c>
      <c r="K123">
        <v>2</v>
      </c>
      <c r="L123">
        <v>2452</v>
      </c>
      <c r="M123" t="s">
        <v>138</v>
      </c>
      <c r="N123" t="s">
        <v>24</v>
      </c>
      <c r="O123" t="s">
        <v>125</v>
      </c>
      <c r="P123">
        <v>4</v>
      </c>
    </row>
    <row r="124" spans="1:16" x14ac:dyDescent="0.3">
      <c r="A124" t="s">
        <v>495</v>
      </c>
      <c r="B124" t="s">
        <v>469</v>
      </c>
      <c r="C124" t="str">
        <f t="shared" si="2"/>
        <v>April</v>
      </c>
      <c r="D124">
        <f t="shared" si="3"/>
        <v>2025</v>
      </c>
      <c r="E124" t="s">
        <v>217</v>
      </c>
      <c r="F124" t="s">
        <v>496</v>
      </c>
      <c r="G124" t="s">
        <v>20</v>
      </c>
      <c r="H124" t="s">
        <v>38</v>
      </c>
      <c r="I124" t="s">
        <v>130</v>
      </c>
      <c r="J124">
        <v>1105</v>
      </c>
      <c r="K124">
        <v>3</v>
      </c>
      <c r="L124">
        <v>3315</v>
      </c>
      <c r="M124" t="s">
        <v>138</v>
      </c>
      <c r="N124" t="s">
        <v>40</v>
      </c>
      <c r="O124" t="s">
        <v>78</v>
      </c>
      <c r="P124">
        <v>1</v>
      </c>
    </row>
    <row r="125" spans="1:16" x14ac:dyDescent="0.3">
      <c r="A125" t="s">
        <v>497</v>
      </c>
      <c r="B125" t="s">
        <v>498</v>
      </c>
      <c r="C125" t="str">
        <f t="shared" si="2"/>
        <v>July</v>
      </c>
      <c r="D125">
        <f t="shared" si="3"/>
        <v>2025</v>
      </c>
      <c r="E125" t="s">
        <v>499</v>
      </c>
      <c r="F125" t="s">
        <v>500</v>
      </c>
      <c r="G125" t="s">
        <v>37</v>
      </c>
      <c r="H125" t="s">
        <v>71</v>
      </c>
      <c r="I125" t="s">
        <v>96</v>
      </c>
      <c r="J125">
        <v>964</v>
      </c>
      <c r="K125">
        <v>3</v>
      </c>
      <c r="L125">
        <v>2892</v>
      </c>
      <c r="M125" t="s">
        <v>138</v>
      </c>
      <c r="N125" t="s">
        <v>48</v>
      </c>
      <c r="O125" t="s">
        <v>32</v>
      </c>
      <c r="P125">
        <v>17</v>
      </c>
    </row>
    <row r="126" spans="1:16" x14ac:dyDescent="0.3">
      <c r="A126" t="s">
        <v>501</v>
      </c>
      <c r="B126" t="s">
        <v>502</v>
      </c>
      <c r="C126" t="str">
        <f t="shared" si="2"/>
        <v>November</v>
      </c>
      <c r="D126">
        <f t="shared" si="3"/>
        <v>2024</v>
      </c>
      <c r="E126" t="s">
        <v>503</v>
      </c>
      <c r="F126" t="s">
        <v>294</v>
      </c>
      <c r="G126" t="s">
        <v>20</v>
      </c>
      <c r="H126" t="s">
        <v>71</v>
      </c>
      <c r="I126" t="s">
        <v>96</v>
      </c>
      <c r="J126">
        <v>380</v>
      </c>
      <c r="K126">
        <v>2</v>
      </c>
      <c r="L126">
        <v>760</v>
      </c>
      <c r="M126" t="s">
        <v>61</v>
      </c>
      <c r="N126" t="s">
        <v>24</v>
      </c>
      <c r="O126" t="s">
        <v>78</v>
      </c>
      <c r="P126">
        <v>12</v>
      </c>
    </row>
    <row r="127" spans="1:16" x14ac:dyDescent="0.3">
      <c r="A127" t="s">
        <v>504</v>
      </c>
      <c r="B127" t="s">
        <v>505</v>
      </c>
      <c r="C127" t="str">
        <f t="shared" si="2"/>
        <v>August</v>
      </c>
      <c r="D127">
        <f t="shared" si="3"/>
        <v>2025</v>
      </c>
      <c r="E127" t="s">
        <v>506</v>
      </c>
      <c r="F127" t="s">
        <v>399</v>
      </c>
      <c r="G127" t="s">
        <v>37</v>
      </c>
      <c r="H127" t="s">
        <v>71</v>
      </c>
      <c r="I127" t="s">
        <v>119</v>
      </c>
      <c r="J127">
        <v>336</v>
      </c>
      <c r="K127">
        <v>5</v>
      </c>
      <c r="L127">
        <v>1680</v>
      </c>
      <c r="M127" t="s">
        <v>61</v>
      </c>
      <c r="N127" t="s">
        <v>48</v>
      </c>
      <c r="O127" t="s">
        <v>62</v>
      </c>
      <c r="P127">
        <v>28</v>
      </c>
    </row>
    <row r="128" spans="1:16" x14ac:dyDescent="0.3">
      <c r="A128" t="s">
        <v>507</v>
      </c>
      <c r="B128" t="s">
        <v>508</v>
      </c>
      <c r="C128" t="str">
        <f t="shared" si="2"/>
        <v>July</v>
      </c>
      <c r="D128">
        <f t="shared" si="3"/>
        <v>2024</v>
      </c>
      <c r="E128" t="s">
        <v>509</v>
      </c>
      <c r="F128" t="s">
        <v>510</v>
      </c>
      <c r="G128" t="s">
        <v>46</v>
      </c>
      <c r="H128" t="s">
        <v>71</v>
      </c>
      <c r="I128" t="s">
        <v>72</v>
      </c>
      <c r="J128">
        <v>518</v>
      </c>
      <c r="K128">
        <v>3</v>
      </c>
      <c r="L128">
        <v>1554</v>
      </c>
      <c r="M128" t="s">
        <v>61</v>
      </c>
      <c r="N128" t="s">
        <v>48</v>
      </c>
      <c r="O128" t="s">
        <v>41</v>
      </c>
      <c r="P128">
        <v>7</v>
      </c>
    </row>
    <row r="129" spans="1:16" x14ac:dyDescent="0.3">
      <c r="A129" t="s">
        <v>511</v>
      </c>
      <c r="B129" t="s">
        <v>512</v>
      </c>
      <c r="C129" t="str">
        <f t="shared" si="2"/>
        <v>October</v>
      </c>
      <c r="D129">
        <f t="shared" si="3"/>
        <v>2024</v>
      </c>
      <c r="E129" t="s">
        <v>513</v>
      </c>
      <c r="F129" t="s">
        <v>514</v>
      </c>
      <c r="G129" t="s">
        <v>20</v>
      </c>
      <c r="H129" t="s">
        <v>71</v>
      </c>
      <c r="I129" t="s">
        <v>83</v>
      </c>
      <c r="J129">
        <v>1120</v>
      </c>
      <c r="K129">
        <v>5</v>
      </c>
      <c r="L129">
        <v>5600</v>
      </c>
      <c r="M129" t="s">
        <v>138</v>
      </c>
      <c r="N129" t="s">
        <v>40</v>
      </c>
      <c r="O129" t="s">
        <v>62</v>
      </c>
      <c r="P129">
        <v>10</v>
      </c>
    </row>
    <row r="130" spans="1:16" x14ac:dyDescent="0.3">
      <c r="A130" t="s">
        <v>515</v>
      </c>
      <c r="B130" t="s">
        <v>516</v>
      </c>
      <c r="C130" t="str">
        <f t="shared" si="2"/>
        <v>January</v>
      </c>
      <c r="D130">
        <f t="shared" si="3"/>
        <v>2025</v>
      </c>
      <c r="E130" t="s">
        <v>474</v>
      </c>
      <c r="F130" t="s">
        <v>517</v>
      </c>
      <c r="G130" t="s">
        <v>20</v>
      </c>
      <c r="H130" t="s">
        <v>38</v>
      </c>
      <c r="I130" t="s">
        <v>39</v>
      </c>
      <c r="J130">
        <v>348</v>
      </c>
      <c r="K130">
        <v>3</v>
      </c>
      <c r="L130">
        <v>1044</v>
      </c>
      <c r="M130" t="s">
        <v>61</v>
      </c>
      <c r="N130" t="s">
        <v>48</v>
      </c>
      <c r="O130" t="s">
        <v>62</v>
      </c>
      <c r="P130">
        <v>28</v>
      </c>
    </row>
    <row r="131" spans="1:16" x14ac:dyDescent="0.3">
      <c r="A131" t="s">
        <v>518</v>
      </c>
      <c r="B131" t="s">
        <v>519</v>
      </c>
      <c r="C131" t="str">
        <f t="shared" ref="C131:C194" si="4">TEXT(B131,"MMMM")</f>
        <v>May</v>
      </c>
      <c r="D131">
        <f t="shared" ref="D131:D194" si="5">YEAR(B131)</f>
        <v>2025</v>
      </c>
      <c r="E131" t="s">
        <v>520</v>
      </c>
      <c r="F131" t="s">
        <v>278</v>
      </c>
      <c r="G131" t="s">
        <v>20</v>
      </c>
      <c r="H131" t="s">
        <v>38</v>
      </c>
      <c r="I131" t="s">
        <v>39</v>
      </c>
      <c r="J131">
        <v>986</v>
      </c>
      <c r="K131">
        <v>2</v>
      </c>
      <c r="L131">
        <v>1972</v>
      </c>
      <c r="M131" t="s">
        <v>23</v>
      </c>
      <c r="N131" t="s">
        <v>31</v>
      </c>
      <c r="O131" t="s">
        <v>62</v>
      </c>
      <c r="P131">
        <v>23</v>
      </c>
    </row>
    <row r="132" spans="1:16" x14ac:dyDescent="0.3">
      <c r="A132" t="s">
        <v>521</v>
      </c>
      <c r="B132" t="s">
        <v>522</v>
      </c>
      <c r="C132" t="str">
        <f t="shared" si="4"/>
        <v>April</v>
      </c>
      <c r="D132">
        <f t="shared" si="5"/>
        <v>2025</v>
      </c>
      <c r="E132" t="s">
        <v>523</v>
      </c>
      <c r="F132" t="s">
        <v>238</v>
      </c>
      <c r="G132" t="s">
        <v>20</v>
      </c>
      <c r="H132" t="s">
        <v>21</v>
      </c>
      <c r="I132" t="s">
        <v>114</v>
      </c>
      <c r="J132">
        <v>971</v>
      </c>
      <c r="K132">
        <v>3</v>
      </c>
      <c r="L132">
        <v>2913</v>
      </c>
      <c r="M132" t="s">
        <v>30</v>
      </c>
      <c r="N132" t="s">
        <v>40</v>
      </c>
      <c r="O132" t="s">
        <v>55</v>
      </c>
      <c r="P132">
        <v>11</v>
      </c>
    </row>
    <row r="133" spans="1:16" x14ac:dyDescent="0.3">
      <c r="A133" t="s">
        <v>524</v>
      </c>
      <c r="B133" t="s">
        <v>525</v>
      </c>
      <c r="C133" t="str">
        <f t="shared" si="4"/>
        <v>July</v>
      </c>
      <c r="D133">
        <f t="shared" si="5"/>
        <v>2024</v>
      </c>
      <c r="E133" t="s">
        <v>526</v>
      </c>
      <c r="F133" t="s">
        <v>527</v>
      </c>
      <c r="G133" t="s">
        <v>20</v>
      </c>
      <c r="H133" t="s">
        <v>21</v>
      </c>
      <c r="I133" t="s">
        <v>114</v>
      </c>
      <c r="J133">
        <v>824</v>
      </c>
      <c r="K133">
        <v>1</v>
      </c>
      <c r="L133">
        <v>824</v>
      </c>
      <c r="M133" t="s">
        <v>138</v>
      </c>
      <c r="N133" t="s">
        <v>48</v>
      </c>
      <c r="O133" t="s">
        <v>78</v>
      </c>
      <c r="P133">
        <v>3</v>
      </c>
    </row>
    <row r="134" spans="1:16" x14ac:dyDescent="0.3">
      <c r="A134" t="s">
        <v>528</v>
      </c>
      <c r="B134" t="s">
        <v>529</v>
      </c>
      <c r="C134" t="str">
        <f t="shared" si="4"/>
        <v>May</v>
      </c>
      <c r="D134">
        <f t="shared" si="5"/>
        <v>2025</v>
      </c>
      <c r="E134" t="s">
        <v>262</v>
      </c>
      <c r="F134" t="s">
        <v>530</v>
      </c>
      <c r="G134" t="s">
        <v>37</v>
      </c>
      <c r="H134" t="s">
        <v>71</v>
      </c>
      <c r="I134" t="s">
        <v>83</v>
      </c>
      <c r="J134">
        <v>851</v>
      </c>
      <c r="K134">
        <v>2</v>
      </c>
      <c r="L134">
        <v>1702</v>
      </c>
      <c r="M134" t="s">
        <v>23</v>
      </c>
      <c r="N134" t="s">
        <v>24</v>
      </c>
      <c r="O134" t="s">
        <v>55</v>
      </c>
      <c r="P134">
        <v>13</v>
      </c>
    </row>
    <row r="135" spans="1:16" x14ac:dyDescent="0.3">
      <c r="A135" t="s">
        <v>531</v>
      </c>
      <c r="B135" t="s">
        <v>465</v>
      </c>
      <c r="C135" t="str">
        <f t="shared" si="4"/>
        <v>August</v>
      </c>
      <c r="D135">
        <f t="shared" si="5"/>
        <v>2025</v>
      </c>
      <c r="E135" t="s">
        <v>532</v>
      </c>
      <c r="F135" t="s">
        <v>533</v>
      </c>
      <c r="G135" t="s">
        <v>37</v>
      </c>
      <c r="H135" t="s">
        <v>21</v>
      </c>
      <c r="I135" t="s">
        <v>109</v>
      </c>
      <c r="J135">
        <v>882</v>
      </c>
      <c r="K135">
        <v>3</v>
      </c>
      <c r="L135">
        <v>2646</v>
      </c>
      <c r="M135" t="s">
        <v>54</v>
      </c>
      <c r="N135" t="s">
        <v>40</v>
      </c>
      <c r="O135" t="s">
        <v>41</v>
      </c>
      <c r="P135">
        <v>19</v>
      </c>
    </row>
    <row r="136" spans="1:16" x14ac:dyDescent="0.3">
      <c r="A136" t="s">
        <v>534</v>
      </c>
      <c r="B136" t="s">
        <v>535</v>
      </c>
      <c r="C136" t="str">
        <f t="shared" si="4"/>
        <v>January</v>
      </c>
      <c r="D136">
        <f t="shared" si="5"/>
        <v>2025</v>
      </c>
      <c r="E136" t="s">
        <v>536</v>
      </c>
      <c r="F136" t="s">
        <v>158</v>
      </c>
      <c r="G136" t="s">
        <v>46</v>
      </c>
      <c r="H136" t="s">
        <v>71</v>
      </c>
      <c r="I136" t="s">
        <v>96</v>
      </c>
      <c r="J136">
        <v>379</v>
      </c>
      <c r="K136">
        <v>4</v>
      </c>
      <c r="L136">
        <v>1516</v>
      </c>
      <c r="M136" t="s">
        <v>54</v>
      </c>
      <c r="N136" t="s">
        <v>31</v>
      </c>
      <c r="O136" t="s">
        <v>125</v>
      </c>
      <c r="P136">
        <v>10</v>
      </c>
    </row>
    <row r="137" spans="1:16" x14ac:dyDescent="0.3">
      <c r="A137" t="s">
        <v>537</v>
      </c>
      <c r="B137" t="s">
        <v>538</v>
      </c>
      <c r="C137" t="str">
        <f t="shared" si="4"/>
        <v>March</v>
      </c>
      <c r="D137">
        <f t="shared" si="5"/>
        <v>2024</v>
      </c>
      <c r="E137" t="s">
        <v>415</v>
      </c>
      <c r="F137" t="s">
        <v>539</v>
      </c>
      <c r="G137" t="s">
        <v>20</v>
      </c>
      <c r="H137" t="s">
        <v>71</v>
      </c>
      <c r="I137" t="s">
        <v>96</v>
      </c>
      <c r="J137">
        <v>1034</v>
      </c>
      <c r="K137">
        <v>1</v>
      </c>
      <c r="L137">
        <v>1034</v>
      </c>
      <c r="M137" t="s">
        <v>30</v>
      </c>
      <c r="N137" t="s">
        <v>24</v>
      </c>
      <c r="O137" t="s">
        <v>84</v>
      </c>
      <c r="P137">
        <v>12</v>
      </c>
    </row>
    <row r="138" spans="1:16" x14ac:dyDescent="0.3">
      <c r="A138" t="s">
        <v>540</v>
      </c>
      <c r="B138" t="s">
        <v>541</v>
      </c>
      <c r="C138" t="str">
        <f t="shared" si="4"/>
        <v>July</v>
      </c>
      <c r="D138">
        <f t="shared" si="5"/>
        <v>2024</v>
      </c>
      <c r="E138" t="s">
        <v>542</v>
      </c>
      <c r="F138" t="s">
        <v>543</v>
      </c>
      <c r="G138" t="s">
        <v>20</v>
      </c>
      <c r="H138" t="s">
        <v>71</v>
      </c>
      <c r="I138" t="s">
        <v>96</v>
      </c>
      <c r="J138">
        <v>499</v>
      </c>
      <c r="K138">
        <v>1</v>
      </c>
      <c r="L138">
        <v>499</v>
      </c>
      <c r="M138" t="s">
        <v>54</v>
      </c>
      <c r="N138" t="s">
        <v>48</v>
      </c>
      <c r="O138" t="s">
        <v>84</v>
      </c>
      <c r="P138">
        <v>22</v>
      </c>
    </row>
    <row r="139" spans="1:16" x14ac:dyDescent="0.3">
      <c r="A139" t="s">
        <v>544</v>
      </c>
      <c r="B139" t="s">
        <v>545</v>
      </c>
      <c r="C139" t="str">
        <f t="shared" si="4"/>
        <v>May</v>
      </c>
      <c r="D139">
        <f t="shared" si="5"/>
        <v>2025</v>
      </c>
      <c r="E139" t="s">
        <v>546</v>
      </c>
      <c r="F139" t="s">
        <v>547</v>
      </c>
      <c r="G139" t="s">
        <v>37</v>
      </c>
      <c r="H139" t="s">
        <v>71</v>
      </c>
      <c r="I139" t="s">
        <v>119</v>
      </c>
      <c r="J139">
        <v>324</v>
      </c>
      <c r="K139">
        <v>1</v>
      </c>
      <c r="L139">
        <v>324</v>
      </c>
      <c r="M139" t="s">
        <v>54</v>
      </c>
      <c r="N139" t="s">
        <v>24</v>
      </c>
      <c r="O139" t="s">
        <v>62</v>
      </c>
      <c r="P139">
        <v>16</v>
      </c>
    </row>
    <row r="140" spans="1:16" x14ac:dyDescent="0.3">
      <c r="A140" t="s">
        <v>548</v>
      </c>
      <c r="B140" t="s">
        <v>549</v>
      </c>
      <c r="C140" t="str">
        <f t="shared" si="4"/>
        <v>June</v>
      </c>
      <c r="D140">
        <f t="shared" si="5"/>
        <v>2025</v>
      </c>
      <c r="E140" t="s">
        <v>550</v>
      </c>
      <c r="F140" t="s">
        <v>123</v>
      </c>
      <c r="G140" t="s">
        <v>37</v>
      </c>
      <c r="H140" t="s">
        <v>21</v>
      </c>
      <c r="I140" t="s">
        <v>114</v>
      </c>
      <c r="J140">
        <v>779</v>
      </c>
      <c r="K140">
        <v>4</v>
      </c>
      <c r="L140">
        <v>3116</v>
      </c>
      <c r="M140" t="s">
        <v>138</v>
      </c>
      <c r="N140" t="s">
        <v>31</v>
      </c>
      <c r="O140" t="s">
        <v>32</v>
      </c>
      <c r="P140">
        <v>17</v>
      </c>
    </row>
    <row r="141" spans="1:16" x14ac:dyDescent="0.3">
      <c r="A141" t="s">
        <v>551</v>
      </c>
      <c r="B141" t="s">
        <v>552</v>
      </c>
      <c r="C141" t="str">
        <f t="shared" si="4"/>
        <v>July</v>
      </c>
      <c r="D141">
        <f t="shared" si="5"/>
        <v>2025</v>
      </c>
      <c r="E141" t="s">
        <v>553</v>
      </c>
      <c r="F141" t="s">
        <v>554</v>
      </c>
      <c r="G141" t="s">
        <v>20</v>
      </c>
      <c r="H141" t="s">
        <v>71</v>
      </c>
      <c r="I141" t="s">
        <v>72</v>
      </c>
      <c r="J141">
        <v>1310</v>
      </c>
      <c r="K141">
        <v>5</v>
      </c>
      <c r="L141">
        <v>6550</v>
      </c>
      <c r="M141" t="s">
        <v>54</v>
      </c>
      <c r="N141" t="s">
        <v>24</v>
      </c>
      <c r="O141" t="s">
        <v>41</v>
      </c>
      <c r="P141">
        <v>17</v>
      </c>
    </row>
    <row r="142" spans="1:16" x14ac:dyDescent="0.3">
      <c r="A142" t="s">
        <v>555</v>
      </c>
      <c r="B142" t="s">
        <v>556</v>
      </c>
      <c r="C142" t="str">
        <f t="shared" si="4"/>
        <v>February</v>
      </c>
      <c r="D142">
        <f t="shared" si="5"/>
        <v>2024</v>
      </c>
      <c r="E142" t="s">
        <v>557</v>
      </c>
      <c r="F142" t="s">
        <v>558</v>
      </c>
      <c r="G142" t="s">
        <v>37</v>
      </c>
      <c r="H142" t="s">
        <v>38</v>
      </c>
      <c r="I142" t="s">
        <v>325</v>
      </c>
      <c r="J142">
        <v>1280</v>
      </c>
      <c r="K142">
        <v>3</v>
      </c>
      <c r="L142">
        <v>3840</v>
      </c>
      <c r="M142" t="s">
        <v>138</v>
      </c>
      <c r="N142" t="s">
        <v>24</v>
      </c>
      <c r="O142" t="s">
        <v>84</v>
      </c>
      <c r="P142">
        <v>29</v>
      </c>
    </row>
    <row r="143" spans="1:16" x14ac:dyDescent="0.3">
      <c r="A143" t="s">
        <v>559</v>
      </c>
      <c r="B143" t="s">
        <v>560</v>
      </c>
      <c r="C143" t="str">
        <f t="shared" si="4"/>
        <v>June</v>
      </c>
      <c r="D143">
        <f t="shared" si="5"/>
        <v>2024</v>
      </c>
      <c r="E143" t="s">
        <v>561</v>
      </c>
      <c r="F143" t="s">
        <v>562</v>
      </c>
      <c r="G143" t="s">
        <v>37</v>
      </c>
      <c r="H143" t="s">
        <v>38</v>
      </c>
      <c r="I143" t="s">
        <v>130</v>
      </c>
      <c r="J143">
        <v>829</v>
      </c>
      <c r="K143">
        <v>2</v>
      </c>
      <c r="L143">
        <v>1658</v>
      </c>
      <c r="M143" t="s">
        <v>138</v>
      </c>
      <c r="N143" t="s">
        <v>40</v>
      </c>
      <c r="O143" t="s">
        <v>62</v>
      </c>
      <c r="P143">
        <v>1</v>
      </c>
    </row>
    <row r="144" spans="1:16" x14ac:dyDescent="0.3">
      <c r="A144" t="s">
        <v>563</v>
      </c>
      <c r="B144" t="s">
        <v>17</v>
      </c>
      <c r="C144" t="str">
        <f t="shared" si="4"/>
        <v>March</v>
      </c>
      <c r="D144">
        <f t="shared" si="5"/>
        <v>2025</v>
      </c>
      <c r="E144" t="s">
        <v>564</v>
      </c>
      <c r="F144" t="s">
        <v>565</v>
      </c>
      <c r="G144" t="s">
        <v>20</v>
      </c>
      <c r="H144" t="s">
        <v>38</v>
      </c>
      <c r="I144" t="s">
        <v>60</v>
      </c>
      <c r="J144">
        <v>1362</v>
      </c>
      <c r="K144">
        <v>5</v>
      </c>
      <c r="L144">
        <v>6810</v>
      </c>
      <c r="M144" t="s">
        <v>61</v>
      </c>
      <c r="N144" t="s">
        <v>40</v>
      </c>
      <c r="O144" t="s">
        <v>41</v>
      </c>
      <c r="P144">
        <v>30</v>
      </c>
    </row>
    <row r="145" spans="1:16" x14ac:dyDescent="0.3">
      <c r="A145" t="s">
        <v>566</v>
      </c>
      <c r="B145" t="s">
        <v>34</v>
      </c>
      <c r="C145" t="str">
        <f t="shared" si="4"/>
        <v>November</v>
      </c>
      <c r="D145">
        <f t="shared" si="5"/>
        <v>2024</v>
      </c>
      <c r="E145" t="s">
        <v>567</v>
      </c>
      <c r="F145" t="s">
        <v>568</v>
      </c>
      <c r="G145" t="s">
        <v>20</v>
      </c>
      <c r="H145" t="s">
        <v>21</v>
      </c>
      <c r="I145" t="s">
        <v>77</v>
      </c>
      <c r="J145">
        <v>1034</v>
      </c>
      <c r="K145">
        <v>3</v>
      </c>
      <c r="L145">
        <v>3102</v>
      </c>
      <c r="M145" t="s">
        <v>23</v>
      </c>
      <c r="N145" t="s">
        <v>31</v>
      </c>
      <c r="O145" t="s">
        <v>32</v>
      </c>
      <c r="P145">
        <v>14</v>
      </c>
    </row>
    <row r="146" spans="1:16" x14ac:dyDescent="0.3">
      <c r="A146" t="s">
        <v>569</v>
      </c>
      <c r="B146" t="s">
        <v>570</v>
      </c>
      <c r="C146" t="str">
        <f t="shared" si="4"/>
        <v>July</v>
      </c>
      <c r="D146">
        <f t="shared" si="5"/>
        <v>2025</v>
      </c>
      <c r="E146" t="s">
        <v>571</v>
      </c>
      <c r="F146" t="s">
        <v>572</v>
      </c>
      <c r="G146" t="s">
        <v>37</v>
      </c>
      <c r="H146" t="s">
        <v>38</v>
      </c>
      <c r="I146" t="s">
        <v>39</v>
      </c>
      <c r="J146">
        <v>577</v>
      </c>
      <c r="K146">
        <v>3</v>
      </c>
      <c r="L146">
        <v>1731</v>
      </c>
      <c r="M146" t="s">
        <v>138</v>
      </c>
      <c r="N146" t="s">
        <v>48</v>
      </c>
      <c r="O146" t="s">
        <v>84</v>
      </c>
      <c r="P146">
        <v>28</v>
      </c>
    </row>
    <row r="147" spans="1:16" x14ac:dyDescent="0.3">
      <c r="A147" t="s">
        <v>573</v>
      </c>
      <c r="B147" t="s">
        <v>574</v>
      </c>
      <c r="C147" t="str">
        <f t="shared" si="4"/>
        <v>July</v>
      </c>
      <c r="D147">
        <f t="shared" si="5"/>
        <v>2024</v>
      </c>
      <c r="E147" t="s">
        <v>452</v>
      </c>
      <c r="F147" t="s">
        <v>575</v>
      </c>
      <c r="G147" t="s">
        <v>46</v>
      </c>
      <c r="H147" t="s">
        <v>21</v>
      </c>
      <c r="I147" t="s">
        <v>109</v>
      </c>
      <c r="J147">
        <v>929</v>
      </c>
      <c r="K147">
        <v>5</v>
      </c>
      <c r="L147">
        <v>4645</v>
      </c>
      <c r="M147" t="s">
        <v>30</v>
      </c>
      <c r="N147" t="s">
        <v>48</v>
      </c>
      <c r="O147" t="s">
        <v>25</v>
      </c>
      <c r="P147">
        <v>2</v>
      </c>
    </row>
    <row r="148" spans="1:16" x14ac:dyDescent="0.3">
      <c r="A148" t="s">
        <v>576</v>
      </c>
      <c r="B148" t="s">
        <v>577</v>
      </c>
      <c r="C148" t="str">
        <f t="shared" si="4"/>
        <v>July</v>
      </c>
      <c r="D148">
        <f t="shared" si="5"/>
        <v>2025</v>
      </c>
      <c r="E148" t="s">
        <v>578</v>
      </c>
      <c r="F148" t="s">
        <v>380</v>
      </c>
      <c r="G148" t="s">
        <v>46</v>
      </c>
      <c r="H148" t="s">
        <v>21</v>
      </c>
      <c r="I148" t="s">
        <v>109</v>
      </c>
      <c r="J148">
        <v>493</v>
      </c>
      <c r="K148">
        <v>3</v>
      </c>
      <c r="L148">
        <v>1479</v>
      </c>
      <c r="M148" t="s">
        <v>54</v>
      </c>
      <c r="N148" t="s">
        <v>24</v>
      </c>
      <c r="O148" t="s">
        <v>25</v>
      </c>
      <c r="P148">
        <v>7</v>
      </c>
    </row>
    <row r="149" spans="1:16" x14ac:dyDescent="0.3">
      <c r="A149" t="s">
        <v>579</v>
      </c>
      <c r="B149" t="s">
        <v>580</v>
      </c>
      <c r="C149" t="str">
        <f t="shared" si="4"/>
        <v>February</v>
      </c>
      <c r="D149">
        <f t="shared" si="5"/>
        <v>2024</v>
      </c>
      <c r="E149" t="s">
        <v>581</v>
      </c>
      <c r="F149" t="s">
        <v>582</v>
      </c>
      <c r="G149" t="s">
        <v>37</v>
      </c>
      <c r="H149" t="s">
        <v>21</v>
      </c>
      <c r="I149" t="s">
        <v>77</v>
      </c>
      <c r="J149">
        <v>1383</v>
      </c>
      <c r="K149">
        <v>3</v>
      </c>
      <c r="L149">
        <v>4149</v>
      </c>
      <c r="M149" t="s">
        <v>23</v>
      </c>
      <c r="N149" t="s">
        <v>48</v>
      </c>
      <c r="O149" t="s">
        <v>32</v>
      </c>
      <c r="P149">
        <v>28</v>
      </c>
    </row>
    <row r="150" spans="1:16" x14ac:dyDescent="0.3">
      <c r="A150" t="s">
        <v>583</v>
      </c>
      <c r="B150" t="s">
        <v>584</v>
      </c>
      <c r="C150" t="str">
        <f t="shared" si="4"/>
        <v>September</v>
      </c>
      <c r="D150">
        <f t="shared" si="5"/>
        <v>2024</v>
      </c>
      <c r="E150" t="s">
        <v>581</v>
      </c>
      <c r="F150" t="s">
        <v>585</v>
      </c>
      <c r="G150" t="s">
        <v>20</v>
      </c>
      <c r="H150" t="s">
        <v>21</v>
      </c>
      <c r="I150" t="s">
        <v>22</v>
      </c>
      <c r="J150">
        <v>1473</v>
      </c>
      <c r="K150">
        <v>1</v>
      </c>
      <c r="L150">
        <v>1473</v>
      </c>
      <c r="M150" t="s">
        <v>23</v>
      </c>
      <c r="N150" t="s">
        <v>40</v>
      </c>
      <c r="O150" t="s">
        <v>25</v>
      </c>
      <c r="P150">
        <v>6</v>
      </c>
    </row>
    <row r="151" spans="1:16" x14ac:dyDescent="0.3">
      <c r="A151" t="s">
        <v>586</v>
      </c>
      <c r="B151" t="s">
        <v>414</v>
      </c>
      <c r="C151" t="str">
        <f t="shared" si="4"/>
        <v>June</v>
      </c>
      <c r="D151">
        <f t="shared" si="5"/>
        <v>2024</v>
      </c>
      <c r="E151" t="s">
        <v>587</v>
      </c>
      <c r="F151" t="s">
        <v>158</v>
      </c>
      <c r="G151" t="s">
        <v>46</v>
      </c>
      <c r="H151" t="s">
        <v>71</v>
      </c>
      <c r="I151" t="s">
        <v>119</v>
      </c>
      <c r="J151">
        <v>453</v>
      </c>
      <c r="K151">
        <v>1</v>
      </c>
      <c r="L151">
        <v>453</v>
      </c>
      <c r="M151" t="s">
        <v>61</v>
      </c>
      <c r="N151" t="s">
        <v>40</v>
      </c>
      <c r="O151" t="s">
        <v>78</v>
      </c>
      <c r="P151">
        <v>27</v>
      </c>
    </row>
    <row r="152" spans="1:16" x14ac:dyDescent="0.3">
      <c r="A152" t="s">
        <v>588</v>
      </c>
      <c r="B152" t="s">
        <v>589</v>
      </c>
      <c r="C152" t="str">
        <f t="shared" si="4"/>
        <v>April</v>
      </c>
      <c r="D152">
        <f t="shared" si="5"/>
        <v>2025</v>
      </c>
      <c r="E152" t="s">
        <v>590</v>
      </c>
      <c r="F152" t="s">
        <v>591</v>
      </c>
      <c r="G152" t="s">
        <v>20</v>
      </c>
      <c r="H152" t="s">
        <v>21</v>
      </c>
      <c r="I152" t="s">
        <v>114</v>
      </c>
      <c r="J152">
        <v>356</v>
      </c>
      <c r="K152">
        <v>4</v>
      </c>
      <c r="L152">
        <v>1424</v>
      </c>
      <c r="M152" t="s">
        <v>30</v>
      </c>
      <c r="N152" t="s">
        <v>40</v>
      </c>
      <c r="O152" t="s">
        <v>41</v>
      </c>
      <c r="P152">
        <v>3</v>
      </c>
    </row>
    <row r="153" spans="1:16" x14ac:dyDescent="0.3">
      <c r="A153" t="s">
        <v>592</v>
      </c>
      <c r="B153" t="s">
        <v>90</v>
      </c>
      <c r="C153" t="str">
        <f t="shared" si="4"/>
        <v>July</v>
      </c>
      <c r="D153">
        <f t="shared" si="5"/>
        <v>2025</v>
      </c>
      <c r="E153" t="s">
        <v>593</v>
      </c>
      <c r="F153" t="s">
        <v>594</v>
      </c>
      <c r="G153" t="s">
        <v>46</v>
      </c>
      <c r="H153" t="s">
        <v>71</v>
      </c>
      <c r="I153" t="s">
        <v>96</v>
      </c>
      <c r="J153">
        <v>369</v>
      </c>
      <c r="K153">
        <v>1</v>
      </c>
      <c r="L153">
        <v>369</v>
      </c>
      <c r="M153" t="s">
        <v>61</v>
      </c>
      <c r="N153" t="s">
        <v>48</v>
      </c>
      <c r="O153" t="s">
        <v>32</v>
      </c>
      <c r="P153">
        <v>25</v>
      </c>
    </row>
    <row r="154" spans="1:16" x14ac:dyDescent="0.3">
      <c r="A154" t="s">
        <v>595</v>
      </c>
      <c r="B154" t="s">
        <v>596</v>
      </c>
      <c r="C154" t="str">
        <f t="shared" si="4"/>
        <v>January</v>
      </c>
      <c r="D154">
        <f t="shared" si="5"/>
        <v>2025</v>
      </c>
      <c r="E154" t="s">
        <v>597</v>
      </c>
      <c r="F154" t="s">
        <v>598</v>
      </c>
      <c r="G154" t="s">
        <v>20</v>
      </c>
      <c r="H154" t="s">
        <v>21</v>
      </c>
      <c r="I154" t="s">
        <v>114</v>
      </c>
      <c r="J154">
        <v>679</v>
      </c>
      <c r="K154">
        <v>1</v>
      </c>
      <c r="L154">
        <v>679</v>
      </c>
      <c r="M154" t="s">
        <v>54</v>
      </c>
      <c r="N154" t="s">
        <v>48</v>
      </c>
      <c r="O154" t="s">
        <v>41</v>
      </c>
      <c r="P154">
        <v>26</v>
      </c>
    </row>
    <row r="155" spans="1:16" x14ac:dyDescent="0.3">
      <c r="A155" t="s">
        <v>599</v>
      </c>
      <c r="B155" t="s">
        <v>577</v>
      </c>
      <c r="C155" t="str">
        <f t="shared" si="4"/>
        <v>July</v>
      </c>
      <c r="D155">
        <f t="shared" si="5"/>
        <v>2025</v>
      </c>
      <c r="E155" t="s">
        <v>600</v>
      </c>
      <c r="F155" t="s">
        <v>601</v>
      </c>
      <c r="G155" t="s">
        <v>46</v>
      </c>
      <c r="H155" t="s">
        <v>71</v>
      </c>
      <c r="I155" t="s">
        <v>124</v>
      </c>
      <c r="J155">
        <v>366</v>
      </c>
      <c r="K155">
        <v>3</v>
      </c>
      <c r="L155">
        <v>1098</v>
      </c>
      <c r="M155" t="s">
        <v>138</v>
      </c>
      <c r="N155" t="s">
        <v>40</v>
      </c>
      <c r="O155" t="s">
        <v>84</v>
      </c>
      <c r="P155">
        <v>21</v>
      </c>
    </row>
    <row r="156" spans="1:16" x14ac:dyDescent="0.3">
      <c r="A156" t="s">
        <v>602</v>
      </c>
      <c r="B156" t="s">
        <v>484</v>
      </c>
      <c r="C156" t="str">
        <f t="shared" si="4"/>
        <v>January</v>
      </c>
      <c r="D156">
        <f t="shared" si="5"/>
        <v>2025</v>
      </c>
      <c r="E156" t="s">
        <v>603</v>
      </c>
      <c r="F156" t="s">
        <v>604</v>
      </c>
      <c r="G156" t="s">
        <v>46</v>
      </c>
      <c r="H156" t="s">
        <v>21</v>
      </c>
      <c r="I156" t="s">
        <v>22</v>
      </c>
      <c r="J156">
        <v>258</v>
      </c>
      <c r="K156">
        <v>3</v>
      </c>
      <c r="L156">
        <v>774</v>
      </c>
      <c r="M156" t="s">
        <v>61</v>
      </c>
      <c r="N156" t="s">
        <v>24</v>
      </c>
      <c r="O156" t="s">
        <v>84</v>
      </c>
      <c r="P156">
        <v>26</v>
      </c>
    </row>
    <row r="157" spans="1:16" x14ac:dyDescent="0.3">
      <c r="A157" t="s">
        <v>605</v>
      </c>
      <c r="B157" t="s">
        <v>606</v>
      </c>
      <c r="C157" t="str">
        <f t="shared" si="4"/>
        <v>May</v>
      </c>
      <c r="D157">
        <f t="shared" si="5"/>
        <v>2025</v>
      </c>
      <c r="E157" t="s">
        <v>607</v>
      </c>
      <c r="F157" t="s">
        <v>608</v>
      </c>
      <c r="G157" t="s">
        <v>37</v>
      </c>
      <c r="H157" t="s">
        <v>38</v>
      </c>
      <c r="I157" t="s">
        <v>47</v>
      </c>
      <c r="J157">
        <v>1183</v>
      </c>
      <c r="K157">
        <v>4</v>
      </c>
      <c r="L157">
        <v>4732</v>
      </c>
      <c r="M157" t="s">
        <v>54</v>
      </c>
      <c r="N157" t="s">
        <v>24</v>
      </c>
      <c r="O157" t="s">
        <v>84</v>
      </c>
      <c r="P157">
        <v>9</v>
      </c>
    </row>
    <row r="158" spans="1:16" x14ac:dyDescent="0.3">
      <c r="A158" t="s">
        <v>609</v>
      </c>
      <c r="B158" t="s">
        <v>610</v>
      </c>
      <c r="C158" t="str">
        <f t="shared" si="4"/>
        <v>January</v>
      </c>
      <c r="D158">
        <f t="shared" si="5"/>
        <v>2024</v>
      </c>
      <c r="E158" t="s">
        <v>611</v>
      </c>
      <c r="F158" t="s">
        <v>594</v>
      </c>
      <c r="G158" t="s">
        <v>20</v>
      </c>
      <c r="H158" t="s">
        <v>38</v>
      </c>
      <c r="I158" t="s">
        <v>60</v>
      </c>
      <c r="J158">
        <v>564</v>
      </c>
      <c r="K158">
        <v>5</v>
      </c>
      <c r="L158">
        <v>2820</v>
      </c>
      <c r="M158" t="s">
        <v>61</v>
      </c>
      <c r="N158" t="s">
        <v>24</v>
      </c>
      <c r="O158" t="s">
        <v>55</v>
      </c>
      <c r="P158">
        <v>18</v>
      </c>
    </row>
    <row r="159" spans="1:16" x14ac:dyDescent="0.3">
      <c r="A159" t="s">
        <v>612</v>
      </c>
      <c r="B159" t="s">
        <v>613</v>
      </c>
      <c r="C159" t="str">
        <f t="shared" si="4"/>
        <v>March</v>
      </c>
      <c r="D159">
        <f t="shared" si="5"/>
        <v>2024</v>
      </c>
      <c r="E159" t="s">
        <v>149</v>
      </c>
      <c r="F159" t="s">
        <v>412</v>
      </c>
      <c r="G159" t="s">
        <v>46</v>
      </c>
      <c r="H159" t="s">
        <v>71</v>
      </c>
      <c r="I159" t="s">
        <v>72</v>
      </c>
      <c r="J159">
        <v>424</v>
      </c>
      <c r="K159">
        <v>5</v>
      </c>
      <c r="L159">
        <v>2120</v>
      </c>
      <c r="M159" t="s">
        <v>54</v>
      </c>
      <c r="N159" t="s">
        <v>40</v>
      </c>
      <c r="O159" t="s">
        <v>41</v>
      </c>
      <c r="P159">
        <v>5</v>
      </c>
    </row>
    <row r="160" spans="1:16" x14ac:dyDescent="0.3">
      <c r="A160" t="s">
        <v>614</v>
      </c>
      <c r="B160" t="s">
        <v>615</v>
      </c>
      <c r="C160" t="str">
        <f t="shared" si="4"/>
        <v>April</v>
      </c>
      <c r="D160">
        <f t="shared" si="5"/>
        <v>2025</v>
      </c>
      <c r="E160" t="s">
        <v>616</v>
      </c>
      <c r="F160" t="s">
        <v>267</v>
      </c>
      <c r="G160" t="s">
        <v>37</v>
      </c>
      <c r="H160" t="s">
        <v>71</v>
      </c>
      <c r="I160" t="s">
        <v>72</v>
      </c>
      <c r="J160">
        <v>444</v>
      </c>
      <c r="K160">
        <v>3</v>
      </c>
      <c r="L160">
        <v>1332</v>
      </c>
      <c r="M160" t="s">
        <v>23</v>
      </c>
      <c r="N160" t="s">
        <v>31</v>
      </c>
      <c r="O160" t="s">
        <v>32</v>
      </c>
      <c r="P160">
        <v>0</v>
      </c>
    </row>
    <row r="161" spans="1:16" x14ac:dyDescent="0.3">
      <c r="A161" t="s">
        <v>617</v>
      </c>
      <c r="B161" t="s">
        <v>345</v>
      </c>
      <c r="C161" t="str">
        <f t="shared" si="4"/>
        <v>April</v>
      </c>
      <c r="D161">
        <f t="shared" si="5"/>
        <v>2024</v>
      </c>
      <c r="E161" t="s">
        <v>618</v>
      </c>
      <c r="F161" t="s">
        <v>619</v>
      </c>
      <c r="G161" t="s">
        <v>20</v>
      </c>
      <c r="H161" t="s">
        <v>38</v>
      </c>
      <c r="I161" t="s">
        <v>325</v>
      </c>
      <c r="J161">
        <v>1040</v>
      </c>
      <c r="K161">
        <v>4</v>
      </c>
      <c r="L161">
        <v>4160</v>
      </c>
      <c r="M161" t="s">
        <v>61</v>
      </c>
      <c r="N161" t="s">
        <v>31</v>
      </c>
      <c r="O161" t="s">
        <v>84</v>
      </c>
      <c r="P161">
        <v>7</v>
      </c>
    </row>
    <row r="162" spans="1:16" x14ac:dyDescent="0.3">
      <c r="A162" t="s">
        <v>620</v>
      </c>
      <c r="B162" t="s">
        <v>185</v>
      </c>
      <c r="C162" t="str">
        <f t="shared" si="4"/>
        <v>February</v>
      </c>
      <c r="D162">
        <f t="shared" si="5"/>
        <v>2025</v>
      </c>
      <c r="E162" t="s">
        <v>621</v>
      </c>
      <c r="F162" t="s">
        <v>622</v>
      </c>
      <c r="G162" t="s">
        <v>46</v>
      </c>
      <c r="H162" t="s">
        <v>71</v>
      </c>
      <c r="I162" t="s">
        <v>83</v>
      </c>
      <c r="J162">
        <v>1497</v>
      </c>
      <c r="K162">
        <v>2</v>
      </c>
      <c r="L162">
        <v>2994</v>
      </c>
      <c r="M162" t="s">
        <v>23</v>
      </c>
      <c r="N162" t="s">
        <v>31</v>
      </c>
      <c r="O162" t="s">
        <v>125</v>
      </c>
      <c r="P162">
        <v>20</v>
      </c>
    </row>
    <row r="163" spans="1:16" x14ac:dyDescent="0.3">
      <c r="A163" t="s">
        <v>623</v>
      </c>
      <c r="B163" t="s">
        <v>624</v>
      </c>
      <c r="C163" t="str">
        <f t="shared" si="4"/>
        <v>November</v>
      </c>
      <c r="D163">
        <f t="shared" si="5"/>
        <v>2024</v>
      </c>
      <c r="E163" t="s">
        <v>625</v>
      </c>
      <c r="F163" t="s">
        <v>626</v>
      </c>
      <c r="G163" t="s">
        <v>37</v>
      </c>
      <c r="H163" t="s">
        <v>71</v>
      </c>
      <c r="I163" t="s">
        <v>119</v>
      </c>
      <c r="J163">
        <v>216</v>
      </c>
      <c r="K163">
        <v>3</v>
      </c>
      <c r="L163">
        <v>648</v>
      </c>
      <c r="M163" t="s">
        <v>54</v>
      </c>
      <c r="N163" t="s">
        <v>40</v>
      </c>
      <c r="O163" t="s">
        <v>125</v>
      </c>
      <c r="P163">
        <v>5</v>
      </c>
    </row>
    <row r="164" spans="1:16" x14ac:dyDescent="0.3">
      <c r="A164" t="s">
        <v>627</v>
      </c>
      <c r="B164" t="s">
        <v>628</v>
      </c>
      <c r="C164" t="str">
        <f t="shared" si="4"/>
        <v>June</v>
      </c>
      <c r="D164">
        <f t="shared" si="5"/>
        <v>2024</v>
      </c>
      <c r="E164" t="s">
        <v>629</v>
      </c>
      <c r="F164" t="s">
        <v>263</v>
      </c>
      <c r="G164" t="s">
        <v>46</v>
      </c>
      <c r="H164" t="s">
        <v>71</v>
      </c>
      <c r="I164" t="s">
        <v>96</v>
      </c>
      <c r="J164">
        <v>509</v>
      </c>
      <c r="K164">
        <v>2</v>
      </c>
      <c r="L164">
        <v>1018</v>
      </c>
      <c r="M164" t="s">
        <v>23</v>
      </c>
      <c r="N164" t="s">
        <v>48</v>
      </c>
      <c r="O164" t="s">
        <v>84</v>
      </c>
      <c r="P164">
        <v>1</v>
      </c>
    </row>
    <row r="165" spans="1:16" x14ac:dyDescent="0.3">
      <c r="A165" t="s">
        <v>630</v>
      </c>
      <c r="B165" t="s">
        <v>106</v>
      </c>
      <c r="C165" t="str">
        <f t="shared" si="4"/>
        <v>July</v>
      </c>
      <c r="D165">
        <f t="shared" si="5"/>
        <v>2025</v>
      </c>
      <c r="E165" t="s">
        <v>631</v>
      </c>
      <c r="F165" t="s">
        <v>632</v>
      </c>
      <c r="G165" t="s">
        <v>37</v>
      </c>
      <c r="H165" t="s">
        <v>21</v>
      </c>
      <c r="I165" t="s">
        <v>109</v>
      </c>
      <c r="J165">
        <v>1483</v>
      </c>
      <c r="K165">
        <v>1</v>
      </c>
      <c r="L165">
        <v>1483</v>
      </c>
      <c r="M165" t="s">
        <v>30</v>
      </c>
      <c r="N165" t="s">
        <v>24</v>
      </c>
      <c r="O165" t="s">
        <v>84</v>
      </c>
      <c r="P165">
        <v>7</v>
      </c>
    </row>
    <row r="166" spans="1:16" x14ac:dyDescent="0.3">
      <c r="A166" t="s">
        <v>633</v>
      </c>
      <c r="B166" t="s">
        <v>634</v>
      </c>
      <c r="C166" t="str">
        <f t="shared" si="4"/>
        <v>August</v>
      </c>
      <c r="D166">
        <f t="shared" si="5"/>
        <v>2024</v>
      </c>
      <c r="E166" t="s">
        <v>635</v>
      </c>
      <c r="F166" t="s">
        <v>636</v>
      </c>
      <c r="G166" t="s">
        <v>46</v>
      </c>
      <c r="H166" t="s">
        <v>21</v>
      </c>
      <c r="I166" t="s">
        <v>109</v>
      </c>
      <c r="J166">
        <v>343</v>
      </c>
      <c r="K166">
        <v>5</v>
      </c>
      <c r="L166">
        <v>1715</v>
      </c>
      <c r="M166" t="s">
        <v>54</v>
      </c>
      <c r="N166" t="s">
        <v>40</v>
      </c>
      <c r="O166" t="s">
        <v>62</v>
      </c>
      <c r="P166">
        <v>27</v>
      </c>
    </row>
    <row r="167" spans="1:16" x14ac:dyDescent="0.3">
      <c r="A167" t="s">
        <v>637</v>
      </c>
      <c r="B167" t="s">
        <v>638</v>
      </c>
      <c r="C167" t="str">
        <f t="shared" si="4"/>
        <v>February</v>
      </c>
      <c r="D167">
        <f t="shared" si="5"/>
        <v>2025</v>
      </c>
      <c r="E167" t="s">
        <v>639</v>
      </c>
      <c r="F167" t="s">
        <v>640</v>
      </c>
      <c r="G167" t="s">
        <v>20</v>
      </c>
      <c r="H167" t="s">
        <v>71</v>
      </c>
      <c r="I167" t="s">
        <v>124</v>
      </c>
      <c r="J167">
        <v>986</v>
      </c>
      <c r="K167">
        <v>5</v>
      </c>
      <c r="L167">
        <v>4930</v>
      </c>
      <c r="M167" t="s">
        <v>138</v>
      </c>
      <c r="N167" t="s">
        <v>24</v>
      </c>
      <c r="O167" t="s">
        <v>62</v>
      </c>
      <c r="P167">
        <v>16</v>
      </c>
    </row>
    <row r="168" spans="1:16" x14ac:dyDescent="0.3">
      <c r="A168" t="s">
        <v>641</v>
      </c>
      <c r="B168" t="s">
        <v>642</v>
      </c>
      <c r="C168" t="str">
        <f t="shared" si="4"/>
        <v>July</v>
      </c>
      <c r="D168">
        <f t="shared" si="5"/>
        <v>2025</v>
      </c>
      <c r="E168" t="s">
        <v>128</v>
      </c>
      <c r="F168" t="s">
        <v>643</v>
      </c>
      <c r="G168" t="s">
        <v>46</v>
      </c>
      <c r="H168" t="s">
        <v>71</v>
      </c>
      <c r="I168" t="s">
        <v>72</v>
      </c>
      <c r="J168">
        <v>816</v>
      </c>
      <c r="K168">
        <v>5</v>
      </c>
      <c r="L168">
        <v>4080</v>
      </c>
      <c r="M168" t="s">
        <v>30</v>
      </c>
      <c r="N168" t="s">
        <v>31</v>
      </c>
      <c r="O168" t="s">
        <v>62</v>
      </c>
      <c r="P168">
        <v>10</v>
      </c>
    </row>
    <row r="169" spans="1:16" x14ac:dyDescent="0.3">
      <c r="A169" t="s">
        <v>644</v>
      </c>
      <c r="B169" t="s">
        <v>645</v>
      </c>
      <c r="C169" t="str">
        <f t="shared" si="4"/>
        <v>April</v>
      </c>
      <c r="D169">
        <f t="shared" si="5"/>
        <v>2025</v>
      </c>
      <c r="E169" t="s">
        <v>646</v>
      </c>
      <c r="F169" t="s">
        <v>647</v>
      </c>
      <c r="G169" t="s">
        <v>20</v>
      </c>
      <c r="H169" t="s">
        <v>71</v>
      </c>
      <c r="I169" t="s">
        <v>83</v>
      </c>
      <c r="J169">
        <v>369</v>
      </c>
      <c r="K169">
        <v>4</v>
      </c>
      <c r="L169">
        <v>1476</v>
      </c>
      <c r="M169" t="s">
        <v>23</v>
      </c>
      <c r="N169" t="s">
        <v>31</v>
      </c>
      <c r="O169" t="s">
        <v>25</v>
      </c>
      <c r="P169">
        <v>29</v>
      </c>
    </row>
    <row r="170" spans="1:16" x14ac:dyDescent="0.3">
      <c r="A170" t="s">
        <v>648</v>
      </c>
      <c r="B170" t="s">
        <v>649</v>
      </c>
      <c r="C170" t="str">
        <f t="shared" si="4"/>
        <v>September</v>
      </c>
      <c r="D170">
        <f t="shared" si="5"/>
        <v>2024</v>
      </c>
      <c r="E170" t="s">
        <v>650</v>
      </c>
      <c r="F170" t="s">
        <v>388</v>
      </c>
      <c r="G170" t="s">
        <v>46</v>
      </c>
      <c r="H170" t="s">
        <v>71</v>
      </c>
      <c r="I170" t="s">
        <v>119</v>
      </c>
      <c r="J170">
        <v>1446</v>
      </c>
      <c r="K170">
        <v>3</v>
      </c>
      <c r="L170">
        <v>4338</v>
      </c>
      <c r="M170" t="s">
        <v>54</v>
      </c>
      <c r="N170" t="s">
        <v>24</v>
      </c>
      <c r="O170" t="s">
        <v>32</v>
      </c>
      <c r="P170">
        <v>24</v>
      </c>
    </row>
    <row r="171" spans="1:16" x14ac:dyDescent="0.3">
      <c r="A171" t="s">
        <v>651</v>
      </c>
      <c r="B171" t="s">
        <v>652</v>
      </c>
      <c r="C171" t="str">
        <f t="shared" si="4"/>
        <v>May</v>
      </c>
      <c r="D171">
        <f t="shared" si="5"/>
        <v>2024</v>
      </c>
      <c r="E171" t="s">
        <v>653</v>
      </c>
      <c r="F171" t="s">
        <v>399</v>
      </c>
      <c r="G171" t="s">
        <v>37</v>
      </c>
      <c r="H171" t="s">
        <v>21</v>
      </c>
      <c r="I171" t="s">
        <v>77</v>
      </c>
      <c r="J171">
        <v>585</v>
      </c>
      <c r="K171">
        <v>2</v>
      </c>
      <c r="L171">
        <v>1170</v>
      </c>
      <c r="M171" t="s">
        <v>138</v>
      </c>
      <c r="N171" t="s">
        <v>24</v>
      </c>
      <c r="O171" t="s">
        <v>84</v>
      </c>
      <c r="P171">
        <v>14</v>
      </c>
    </row>
    <row r="172" spans="1:16" x14ac:dyDescent="0.3">
      <c r="A172" t="s">
        <v>654</v>
      </c>
      <c r="B172" t="s">
        <v>152</v>
      </c>
      <c r="C172" t="str">
        <f t="shared" si="4"/>
        <v>August</v>
      </c>
      <c r="D172">
        <f t="shared" si="5"/>
        <v>2024</v>
      </c>
      <c r="E172" t="s">
        <v>655</v>
      </c>
      <c r="F172" t="s">
        <v>278</v>
      </c>
      <c r="G172" t="s">
        <v>20</v>
      </c>
      <c r="H172" t="s">
        <v>21</v>
      </c>
      <c r="I172" t="s">
        <v>109</v>
      </c>
      <c r="J172">
        <v>557</v>
      </c>
      <c r="K172">
        <v>2</v>
      </c>
      <c r="L172">
        <v>1114</v>
      </c>
      <c r="M172" t="s">
        <v>30</v>
      </c>
      <c r="N172" t="s">
        <v>24</v>
      </c>
      <c r="O172" t="s">
        <v>25</v>
      </c>
      <c r="P172">
        <v>13</v>
      </c>
    </row>
    <row r="173" spans="1:16" x14ac:dyDescent="0.3">
      <c r="A173" t="s">
        <v>656</v>
      </c>
      <c r="B173" t="s">
        <v>50</v>
      </c>
      <c r="C173" t="str">
        <f t="shared" si="4"/>
        <v>November</v>
      </c>
      <c r="D173">
        <f t="shared" si="5"/>
        <v>2024</v>
      </c>
      <c r="E173" t="s">
        <v>657</v>
      </c>
      <c r="F173" t="s">
        <v>194</v>
      </c>
      <c r="G173" t="s">
        <v>37</v>
      </c>
      <c r="H173" t="s">
        <v>71</v>
      </c>
      <c r="I173" t="s">
        <v>83</v>
      </c>
      <c r="J173">
        <v>1291</v>
      </c>
      <c r="K173">
        <v>5</v>
      </c>
      <c r="L173">
        <v>6455</v>
      </c>
      <c r="M173" t="s">
        <v>138</v>
      </c>
      <c r="N173" t="s">
        <v>48</v>
      </c>
      <c r="O173" t="s">
        <v>125</v>
      </c>
      <c r="P173">
        <v>18</v>
      </c>
    </row>
    <row r="174" spans="1:16" x14ac:dyDescent="0.3">
      <c r="A174" t="s">
        <v>658</v>
      </c>
      <c r="B174" t="s">
        <v>659</v>
      </c>
      <c r="C174" t="str">
        <f t="shared" si="4"/>
        <v>September</v>
      </c>
      <c r="D174">
        <f t="shared" si="5"/>
        <v>2024</v>
      </c>
      <c r="E174" t="s">
        <v>660</v>
      </c>
      <c r="F174" t="s">
        <v>142</v>
      </c>
      <c r="G174" t="s">
        <v>37</v>
      </c>
      <c r="H174" t="s">
        <v>21</v>
      </c>
      <c r="I174" t="s">
        <v>22</v>
      </c>
      <c r="J174">
        <v>761</v>
      </c>
      <c r="K174">
        <v>1</v>
      </c>
      <c r="L174">
        <v>761</v>
      </c>
      <c r="M174" t="s">
        <v>54</v>
      </c>
      <c r="N174" t="s">
        <v>48</v>
      </c>
      <c r="O174" t="s">
        <v>84</v>
      </c>
      <c r="P174">
        <v>18</v>
      </c>
    </row>
    <row r="175" spans="1:16" x14ac:dyDescent="0.3">
      <c r="A175" t="s">
        <v>661</v>
      </c>
      <c r="B175" t="s">
        <v>192</v>
      </c>
      <c r="C175" t="str">
        <f t="shared" si="4"/>
        <v>February</v>
      </c>
      <c r="D175">
        <f t="shared" si="5"/>
        <v>2025</v>
      </c>
      <c r="E175" t="s">
        <v>662</v>
      </c>
      <c r="F175" t="s">
        <v>290</v>
      </c>
      <c r="G175" t="s">
        <v>46</v>
      </c>
      <c r="H175" t="s">
        <v>21</v>
      </c>
      <c r="I175" t="s">
        <v>53</v>
      </c>
      <c r="J175">
        <v>1014</v>
      </c>
      <c r="K175">
        <v>3</v>
      </c>
      <c r="L175">
        <v>3042</v>
      </c>
      <c r="M175" t="s">
        <v>23</v>
      </c>
      <c r="N175" t="s">
        <v>40</v>
      </c>
      <c r="O175" t="s">
        <v>32</v>
      </c>
      <c r="P175">
        <v>14</v>
      </c>
    </row>
    <row r="176" spans="1:16" x14ac:dyDescent="0.3">
      <c r="A176" t="s">
        <v>663</v>
      </c>
      <c r="B176" t="s">
        <v>664</v>
      </c>
      <c r="C176" t="str">
        <f t="shared" si="4"/>
        <v>October</v>
      </c>
      <c r="D176">
        <f t="shared" si="5"/>
        <v>2024</v>
      </c>
      <c r="E176" t="s">
        <v>503</v>
      </c>
      <c r="F176" t="s">
        <v>665</v>
      </c>
      <c r="G176" t="s">
        <v>46</v>
      </c>
      <c r="H176" t="s">
        <v>38</v>
      </c>
      <c r="I176" t="s">
        <v>130</v>
      </c>
      <c r="J176">
        <v>918</v>
      </c>
      <c r="K176">
        <v>3</v>
      </c>
      <c r="L176">
        <v>2754</v>
      </c>
      <c r="M176" t="s">
        <v>138</v>
      </c>
      <c r="N176" t="s">
        <v>40</v>
      </c>
      <c r="O176" t="s">
        <v>32</v>
      </c>
      <c r="P176">
        <v>25</v>
      </c>
    </row>
    <row r="177" spans="1:16" x14ac:dyDescent="0.3">
      <c r="A177" t="s">
        <v>666</v>
      </c>
      <c r="B177" t="s">
        <v>667</v>
      </c>
      <c r="C177" t="str">
        <f t="shared" si="4"/>
        <v>November</v>
      </c>
      <c r="D177">
        <f t="shared" si="5"/>
        <v>2024</v>
      </c>
      <c r="E177" t="s">
        <v>668</v>
      </c>
      <c r="F177" t="s">
        <v>173</v>
      </c>
      <c r="G177" t="s">
        <v>37</v>
      </c>
      <c r="H177" t="s">
        <v>71</v>
      </c>
      <c r="I177" t="s">
        <v>72</v>
      </c>
      <c r="J177">
        <v>838</v>
      </c>
      <c r="K177">
        <v>1</v>
      </c>
      <c r="L177">
        <v>838</v>
      </c>
      <c r="M177" t="s">
        <v>30</v>
      </c>
      <c r="N177" t="s">
        <v>40</v>
      </c>
      <c r="O177" t="s">
        <v>62</v>
      </c>
      <c r="P177">
        <v>26</v>
      </c>
    </row>
    <row r="178" spans="1:16" x14ac:dyDescent="0.3">
      <c r="A178" t="s">
        <v>669</v>
      </c>
      <c r="B178" t="s">
        <v>17</v>
      </c>
      <c r="C178" t="str">
        <f t="shared" si="4"/>
        <v>March</v>
      </c>
      <c r="D178">
        <f t="shared" si="5"/>
        <v>2025</v>
      </c>
      <c r="E178" t="s">
        <v>670</v>
      </c>
      <c r="F178" t="s">
        <v>278</v>
      </c>
      <c r="G178" t="s">
        <v>20</v>
      </c>
      <c r="H178" t="s">
        <v>71</v>
      </c>
      <c r="I178" t="s">
        <v>72</v>
      </c>
      <c r="J178">
        <v>948</v>
      </c>
      <c r="K178">
        <v>4</v>
      </c>
      <c r="L178">
        <v>3792</v>
      </c>
      <c r="M178" t="s">
        <v>23</v>
      </c>
      <c r="N178" t="s">
        <v>48</v>
      </c>
      <c r="O178" t="s">
        <v>125</v>
      </c>
      <c r="P178">
        <v>21</v>
      </c>
    </row>
    <row r="179" spans="1:16" x14ac:dyDescent="0.3">
      <c r="A179" t="s">
        <v>671</v>
      </c>
      <c r="B179" t="s">
        <v>672</v>
      </c>
      <c r="C179" t="str">
        <f t="shared" si="4"/>
        <v>December</v>
      </c>
      <c r="D179">
        <f t="shared" si="5"/>
        <v>2024</v>
      </c>
      <c r="E179" t="s">
        <v>673</v>
      </c>
      <c r="F179" t="s">
        <v>585</v>
      </c>
      <c r="G179" t="s">
        <v>20</v>
      </c>
      <c r="H179" t="s">
        <v>38</v>
      </c>
      <c r="I179" t="s">
        <v>130</v>
      </c>
      <c r="J179">
        <v>1062</v>
      </c>
      <c r="K179">
        <v>2</v>
      </c>
      <c r="L179">
        <v>2124</v>
      </c>
      <c r="M179" t="s">
        <v>30</v>
      </c>
      <c r="N179" t="s">
        <v>40</v>
      </c>
      <c r="O179" t="s">
        <v>78</v>
      </c>
      <c r="P179">
        <v>10</v>
      </c>
    </row>
    <row r="180" spans="1:16" x14ac:dyDescent="0.3">
      <c r="A180" t="s">
        <v>674</v>
      </c>
      <c r="B180" t="s">
        <v>488</v>
      </c>
      <c r="C180" t="str">
        <f t="shared" si="4"/>
        <v>December</v>
      </c>
      <c r="D180">
        <f t="shared" si="5"/>
        <v>2024</v>
      </c>
      <c r="E180" t="s">
        <v>675</v>
      </c>
      <c r="F180" t="s">
        <v>347</v>
      </c>
      <c r="G180" t="s">
        <v>46</v>
      </c>
      <c r="H180" t="s">
        <v>71</v>
      </c>
      <c r="I180" t="s">
        <v>96</v>
      </c>
      <c r="J180">
        <v>1382</v>
      </c>
      <c r="K180">
        <v>1</v>
      </c>
      <c r="L180">
        <v>1382</v>
      </c>
      <c r="M180" t="s">
        <v>138</v>
      </c>
      <c r="N180" t="s">
        <v>40</v>
      </c>
      <c r="O180" t="s">
        <v>32</v>
      </c>
      <c r="P180">
        <v>30</v>
      </c>
    </row>
    <row r="181" spans="1:16" x14ac:dyDescent="0.3">
      <c r="A181" t="s">
        <v>676</v>
      </c>
      <c r="B181" t="s">
        <v>677</v>
      </c>
      <c r="C181" t="str">
        <f t="shared" si="4"/>
        <v>February</v>
      </c>
      <c r="D181">
        <f t="shared" si="5"/>
        <v>2024</v>
      </c>
      <c r="E181" t="s">
        <v>678</v>
      </c>
      <c r="F181" t="s">
        <v>598</v>
      </c>
      <c r="G181" t="s">
        <v>20</v>
      </c>
      <c r="H181" t="s">
        <v>38</v>
      </c>
      <c r="I181" t="s">
        <v>47</v>
      </c>
      <c r="J181">
        <v>1480</v>
      </c>
      <c r="K181">
        <v>4</v>
      </c>
      <c r="L181">
        <v>5920</v>
      </c>
      <c r="M181" t="s">
        <v>54</v>
      </c>
      <c r="N181" t="s">
        <v>40</v>
      </c>
      <c r="O181" t="s">
        <v>62</v>
      </c>
      <c r="P181">
        <v>29</v>
      </c>
    </row>
    <row r="182" spans="1:16" x14ac:dyDescent="0.3">
      <c r="A182" t="s">
        <v>679</v>
      </c>
      <c r="B182" t="s">
        <v>680</v>
      </c>
      <c r="C182" t="str">
        <f t="shared" si="4"/>
        <v>April</v>
      </c>
      <c r="D182">
        <f t="shared" si="5"/>
        <v>2024</v>
      </c>
      <c r="E182" t="s">
        <v>681</v>
      </c>
      <c r="F182" t="s">
        <v>682</v>
      </c>
      <c r="G182" t="s">
        <v>20</v>
      </c>
      <c r="H182" t="s">
        <v>21</v>
      </c>
      <c r="I182" t="s">
        <v>77</v>
      </c>
      <c r="J182">
        <v>406</v>
      </c>
      <c r="K182">
        <v>3</v>
      </c>
      <c r="L182">
        <v>1218</v>
      </c>
      <c r="M182" t="s">
        <v>61</v>
      </c>
      <c r="N182" t="s">
        <v>31</v>
      </c>
      <c r="O182" t="s">
        <v>78</v>
      </c>
      <c r="P182">
        <v>25</v>
      </c>
    </row>
    <row r="183" spans="1:16" x14ac:dyDescent="0.3">
      <c r="A183" t="s">
        <v>683</v>
      </c>
      <c r="B183" t="s">
        <v>628</v>
      </c>
      <c r="C183" t="str">
        <f t="shared" si="4"/>
        <v>June</v>
      </c>
      <c r="D183">
        <f t="shared" si="5"/>
        <v>2024</v>
      </c>
      <c r="E183" t="s">
        <v>520</v>
      </c>
      <c r="F183" t="s">
        <v>684</v>
      </c>
      <c r="G183" t="s">
        <v>20</v>
      </c>
      <c r="H183" t="s">
        <v>71</v>
      </c>
      <c r="I183" t="s">
        <v>72</v>
      </c>
      <c r="J183">
        <v>470</v>
      </c>
      <c r="K183">
        <v>5</v>
      </c>
      <c r="L183">
        <v>2350</v>
      </c>
      <c r="M183" t="s">
        <v>23</v>
      </c>
      <c r="N183" t="s">
        <v>24</v>
      </c>
      <c r="O183" t="s">
        <v>125</v>
      </c>
      <c r="P183">
        <v>14</v>
      </c>
    </row>
    <row r="184" spans="1:16" x14ac:dyDescent="0.3">
      <c r="A184" t="s">
        <v>685</v>
      </c>
      <c r="B184" t="s">
        <v>686</v>
      </c>
      <c r="C184" t="str">
        <f t="shared" si="4"/>
        <v>March</v>
      </c>
      <c r="D184">
        <f t="shared" si="5"/>
        <v>2025</v>
      </c>
      <c r="E184" t="s">
        <v>687</v>
      </c>
      <c r="F184" t="s">
        <v>688</v>
      </c>
      <c r="G184" t="s">
        <v>46</v>
      </c>
      <c r="H184" t="s">
        <v>21</v>
      </c>
      <c r="I184" t="s">
        <v>114</v>
      </c>
      <c r="J184">
        <v>1058</v>
      </c>
      <c r="K184">
        <v>4</v>
      </c>
      <c r="L184">
        <v>4232</v>
      </c>
      <c r="M184" t="s">
        <v>54</v>
      </c>
      <c r="N184" t="s">
        <v>24</v>
      </c>
      <c r="O184" t="s">
        <v>55</v>
      </c>
      <c r="P184">
        <v>12</v>
      </c>
    </row>
    <row r="185" spans="1:16" x14ac:dyDescent="0.3">
      <c r="A185" t="s">
        <v>689</v>
      </c>
      <c r="B185" t="s">
        <v>690</v>
      </c>
      <c r="C185" t="str">
        <f t="shared" si="4"/>
        <v>December</v>
      </c>
      <c r="D185">
        <f t="shared" si="5"/>
        <v>2024</v>
      </c>
      <c r="E185" t="s">
        <v>691</v>
      </c>
      <c r="F185" t="s">
        <v>198</v>
      </c>
      <c r="G185" t="s">
        <v>46</v>
      </c>
      <c r="H185" t="s">
        <v>71</v>
      </c>
      <c r="I185" t="s">
        <v>124</v>
      </c>
      <c r="J185">
        <v>406</v>
      </c>
      <c r="K185">
        <v>4</v>
      </c>
      <c r="L185">
        <v>1624</v>
      </c>
      <c r="M185" t="s">
        <v>61</v>
      </c>
      <c r="N185" t="s">
        <v>24</v>
      </c>
      <c r="O185" t="s">
        <v>25</v>
      </c>
      <c r="P185">
        <v>11</v>
      </c>
    </row>
    <row r="186" spans="1:16" x14ac:dyDescent="0.3">
      <c r="A186" t="s">
        <v>692</v>
      </c>
      <c r="B186" t="s">
        <v>240</v>
      </c>
      <c r="C186" t="str">
        <f t="shared" si="4"/>
        <v>June</v>
      </c>
      <c r="D186">
        <f t="shared" si="5"/>
        <v>2024</v>
      </c>
      <c r="E186" t="s">
        <v>693</v>
      </c>
      <c r="F186" t="s">
        <v>347</v>
      </c>
      <c r="G186" t="s">
        <v>46</v>
      </c>
      <c r="H186" t="s">
        <v>21</v>
      </c>
      <c r="I186" t="s">
        <v>77</v>
      </c>
      <c r="J186">
        <v>1314</v>
      </c>
      <c r="K186">
        <v>4</v>
      </c>
      <c r="L186">
        <v>5256</v>
      </c>
      <c r="M186" t="s">
        <v>138</v>
      </c>
      <c r="N186" t="s">
        <v>40</v>
      </c>
      <c r="O186" t="s">
        <v>32</v>
      </c>
      <c r="P186">
        <v>20</v>
      </c>
    </row>
    <row r="187" spans="1:16" x14ac:dyDescent="0.3">
      <c r="A187" t="s">
        <v>694</v>
      </c>
      <c r="B187" t="s">
        <v>695</v>
      </c>
      <c r="C187" t="str">
        <f t="shared" si="4"/>
        <v>March</v>
      </c>
      <c r="D187">
        <f t="shared" si="5"/>
        <v>2024</v>
      </c>
      <c r="E187" t="s">
        <v>696</v>
      </c>
      <c r="F187" t="s">
        <v>697</v>
      </c>
      <c r="G187" t="s">
        <v>37</v>
      </c>
      <c r="H187" t="s">
        <v>21</v>
      </c>
      <c r="I187" t="s">
        <v>22</v>
      </c>
      <c r="J187">
        <v>314</v>
      </c>
      <c r="K187">
        <v>1</v>
      </c>
      <c r="L187">
        <v>314</v>
      </c>
      <c r="M187" t="s">
        <v>23</v>
      </c>
      <c r="N187" t="s">
        <v>24</v>
      </c>
      <c r="O187" t="s">
        <v>55</v>
      </c>
      <c r="P187">
        <v>17</v>
      </c>
    </row>
    <row r="188" spans="1:16" x14ac:dyDescent="0.3">
      <c r="A188" t="s">
        <v>698</v>
      </c>
      <c r="B188" t="s">
        <v>699</v>
      </c>
      <c r="C188" t="str">
        <f t="shared" si="4"/>
        <v>November</v>
      </c>
      <c r="D188">
        <f t="shared" si="5"/>
        <v>2024</v>
      </c>
      <c r="E188" t="s">
        <v>700</v>
      </c>
      <c r="F188" t="s">
        <v>701</v>
      </c>
      <c r="G188" t="s">
        <v>37</v>
      </c>
      <c r="H188" t="s">
        <v>21</v>
      </c>
      <c r="I188" t="s">
        <v>114</v>
      </c>
      <c r="J188">
        <v>888</v>
      </c>
      <c r="K188">
        <v>1</v>
      </c>
      <c r="L188">
        <v>888</v>
      </c>
      <c r="M188" t="s">
        <v>61</v>
      </c>
      <c r="N188" t="s">
        <v>24</v>
      </c>
      <c r="O188" t="s">
        <v>32</v>
      </c>
      <c r="P188">
        <v>3</v>
      </c>
    </row>
    <row r="189" spans="1:16" x14ac:dyDescent="0.3">
      <c r="A189" t="s">
        <v>702</v>
      </c>
      <c r="B189" t="s">
        <v>703</v>
      </c>
      <c r="C189" t="str">
        <f t="shared" si="4"/>
        <v>November</v>
      </c>
      <c r="D189">
        <f t="shared" si="5"/>
        <v>2024</v>
      </c>
      <c r="E189" t="s">
        <v>704</v>
      </c>
      <c r="F189" t="s">
        <v>52</v>
      </c>
      <c r="G189" t="s">
        <v>20</v>
      </c>
      <c r="H189" t="s">
        <v>38</v>
      </c>
      <c r="I189" t="s">
        <v>47</v>
      </c>
      <c r="J189">
        <v>476</v>
      </c>
      <c r="K189">
        <v>4</v>
      </c>
      <c r="L189">
        <v>1904</v>
      </c>
      <c r="M189" t="s">
        <v>54</v>
      </c>
      <c r="N189" t="s">
        <v>48</v>
      </c>
      <c r="O189" t="s">
        <v>32</v>
      </c>
      <c r="P189">
        <v>1</v>
      </c>
    </row>
    <row r="190" spans="1:16" x14ac:dyDescent="0.3">
      <c r="A190" t="s">
        <v>705</v>
      </c>
      <c r="B190" t="s">
        <v>390</v>
      </c>
      <c r="C190" t="str">
        <f t="shared" si="4"/>
        <v>June</v>
      </c>
      <c r="D190">
        <f t="shared" si="5"/>
        <v>2024</v>
      </c>
      <c r="E190" t="s">
        <v>706</v>
      </c>
      <c r="F190" t="s">
        <v>688</v>
      </c>
      <c r="G190" t="s">
        <v>46</v>
      </c>
      <c r="H190" t="s">
        <v>71</v>
      </c>
      <c r="I190" t="s">
        <v>96</v>
      </c>
      <c r="J190">
        <v>1279</v>
      </c>
      <c r="K190">
        <v>2</v>
      </c>
      <c r="L190">
        <v>2558</v>
      </c>
      <c r="M190" t="s">
        <v>23</v>
      </c>
      <c r="N190" t="s">
        <v>24</v>
      </c>
      <c r="O190" t="s">
        <v>32</v>
      </c>
      <c r="P190">
        <v>22</v>
      </c>
    </row>
    <row r="191" spans="1:16" x14ac:dyDescent="0.3">
      <c r="A191" t="s">
        <v>707</v>
      </c>
      <c r="B191" t="s">
        <v>649</v>
      </c>
      <c r="C191" t="str">
        <f t="shared" si="4"/>
        <v>September</v>
      </c>
      <c r="D191">
        <f t="shared" si="5"/>
        <v>2024</v>
      </c>
      <c r="E191" t="s">
        <v>708</v>
      </c>
      <c r="F191" t="s">
        <v>709</v>
      </c>
      <c r="G191" t="s">
        <v>20</v>
      </c>
      <c r="H191" t="s">
        <v>21</v>
      </c>
      <c r="I191" t="s">
        <v>53</v>
      </c>
      <c r="J191">
        <v>262</v>
      </c>
      <c r="K191">
        <v>4</v>
      </c>
      <c r="L191">
        <v>1048</v>
      </c>
      <c r="M191" t="s">
        <v>138</v>
      </c>
      <c r="N191" t="s">
        <v>24</v>
      </c>
      <c r="O191" t="s">
        <v>125</v>
      </c>
      <c r="P191">
        <v>6</v>
      </c>
    </row>
    <row r="192" spans="1:16" x14ac:dyDescent="0.3">
      <c r="A192" t="s">
        <v>710</v>
      </c>
      <c r="B192" t="s">
        <v>645</v>
      </c>
      <c r="C192" t="str">
        <f t="shared" si="4"/>
        <v>April</v>
      </c>
      <c r="D192">
        <f t="shared" si="5"/>
        <v>2025</v>
      </c>
      <c r="E192" t="s">
        <v>711</v>
      </c>
      <c r="F192" t="s">
        <v>712</v>
      </c>
      <c r="G192" t="s">
        <v>46</v>
      </c>
      <c r="H192" t="s">
        <v>38</v>
      </c>
      <c r="I192" t="s">
        <v>39</v>
      </c>
      <c r="J192">
        <v>449</v>
      </c>
      <c r="K192">
        <v>3</v>
      </c>
      <c r="L192">
        <v>1347</v>
      </c>
      <c r="M192" t="s">
        <v>23</v>
      </c>
      <c r="N192" t="s">
        <v>48</v>
      </c>
      <c r="O192" t="s">
        <v>78</v>
      </c>
      <c r="P192">
        <v>14</v>
      </c>
    </row>
    <row r="193" spans="1:16" x14ac:dyDescent="0.3">
      <c r="A193" t="s">
        <v>713</v>
      </c>
      <c r="B193" t="s">
        <v>714</v>
      </c>
      <c r="C193" t="str">
        <f t="shared" si="4"/>
        <v>July</v>
      </c>
      <c r="D193">
        <f t="shared" si="5"/>
        <v>2024</v>
      </c>
      <c r="E193" t="s">
        <v>372</v>
      </c>
      <c r="F193" t="s">
        <v>715</v>
      </c>
      <c r="G193" t="s">
        <v>20</v>
      </c>
      <c r="H193" t="s">
        <v>21</v>
      </c>
      <c r="I193" t="s">
        <v>114</v>
      </c>
      <c r="J193">
        <v>1357</v>
      </c>
      <c r="K193">
        <v>1</v>
      </c>
      <c r="L193">
        <v>1357</v>
      </c>
      <c r="M193" t="s">
        <v>61</v>
      </c>
      <c r="N193" t="s">
        <v>48</v>
      </c>
      <c r="O193" t="s">
        <v>25</v>
      </c>
      <c r="P193">
        <v>10</v>
      </c>
    </row>
    <row r="194" spans="1:16" x14ac:dyDescent="0.3">
      <c r="A194" t="s">
        <v>716</v>
      </c>
      <c r="B194" t="s">
        <v>717</v>
      </c>
      <c r="C194" t="str">
        <f t="shared" si="4"/>
        <v>January</v>
      </c>
      <c r="D194">
        <f t="shared" si="5"/>
        <v>2024</v>
      </c>
      <c r="E194" t="s">
        <v>718</v>
      </c>
      <c r="F194" t="s">
        <v>719</v>
      </c>
      <c r="G194" t="s">
        <v>37</v>
      </c>
      <c r="H194" t="s">
        <v>71</v>
      </c>
      <c r="I194" t="s">
        <v>83</v>
      </c>
      <c r="J194">
        <v>256</v>
      </c>
      <c r="K194">
        <v>3</v>
      </c>
      <c r="L194">
        <v>768</v>
      </c>
      <c r="M194" t="s">
        <v>30</v>
      </c>
      <c r="N194" t="s">
        <v>40</v>
      </c>
      <c r="O194" t="s">
        <v>84</v>
      </c>
      <c r="P194">
        <v>0</v>
      </c>
    </row>
    <row r="195" spans="1:16" x14ac:dyDescent="0.3">
      <c r="A195" t="s">
        <v>720</v>
      </c>
      <c r="B195" t="s">
        <v>721</v>
      </c>
      <c r="C195" t="str">
        <f t="shared" ref="C195:C258" si="6">TEXT(B195,"MMMM")</f>
        <v>September</v>
      </c>
      <c r="D195">
        <f t="shared" ref="D195:D258" si="7">YEAR(B195)</f>
        <v>2024</v>
      </c>
      <c r="E195" t="s">
        <v>722</v>
      </c>
      <c r="F195" t="s">
        <v>723</v>
      </c>
      <c r="G195" t="s">
        <v>37</v>
      </c>
      <c r="H195" t="s">
        <v>71</v>
      </c>
      <c r="I195" t="s">
        <v>83</v>
      </c>
      <c r="J195">
        <v>1276</v>
      </c>
      <c r="K195">
        <v>4</v>
      </c>
      <c r="L195">
        <v>5104</v>
      </c>
      <c r="M195" t="s">
        <v>61</v>
      </c>
      <c r="N195" t="s">
        <v>24</v>
      </c>
      <c r="O195" t="s">
        <v>78</v>
      </c>
      <c r="P195">
        <v>7</v>
      </c>
    </row>
    <row r="196" spans="1:16" x14ac:dyDescent="0.3">
      <c r="A196" t="s">
        <v>724</v>
      </c>
      <c r="B196" t="s">
        <v>703</v>
      </c>
      <c r="C196" t="str">
        <f t="shared" si="6"/>
        <v>November</v>
      </c>
      <c r="D196">
        <f t="shared" si="7"/>
        <v>2024</v>
      </c>
      <c r="E196" t="s">
        <v>725</v>
      </c>
      <c r="F196" t="s">
        <v>726</v>
      </c>
      <c r="G196" t="s">
        <v>46</v>
      </c>
      <c r="H196" t="s">
        <v>21</v>
      </c>
      <c r="I196" t="s">
        <v>53</v>
      </c>
      <c r="J196">
        <v>1271</v>
      </c>
      <c r="K196">
        <v>1</v>
      </c>
      <c r="L196">
        <v>1271</v>
      </c>
      <c r="M196" t="s">
        <v>54</v>
      </c>
      <c r="N196" t="s">
        <v>40</v>
      </c>
      <c r="O196" t="s">
        <v>32</v>
      </c>
      <c r="P196">
        <v>28</v>
      </c>
    </row>
    <row r="197" spans="1:16" x14ac:dyDescent="0.3">
      <c r="A197" t="s">
        <v>727</v>
      </c>
      <c r="B197" t="s">
        <v>728</v>
      </c>
      <c r="C197" t="str">
        <f t="shared" si="6"/>
        <v>January</v>
      </c>
      <c r="D197">
        <f t="shared" si="7"/>
        <v>2025</v>
      </c>
      <c r="E197" t="s">
        <v>729</v>
      </c>
      <c r="F197" t="s">
        <v>730</v>
      </c>
      <c r="G197" t="s">
        <v>46</v>
      </c>
      <c r="H197" t="s">
        <v>21</v>
      </c>
      <c r="I197" t="s">
        <v>109</v>
      </c>
      <c r="J197">
        <v>1135</v>
      </c>
      <c r="K197">
        <v>4</v>
      </c>
      <c r="L197">
        <v>4540</v>
      </c>
      <c r="M197" t="s">
        <v>138</v>
      </c>
      <c r="N197" t="s">
        <v>40</v>
      </c>
      <c r="O197" t="s">
        <v>41</v>
      </c>
      <c r="P197">
        <v>27</v>
      </c>
    </row>
    <row r="198" spans="1:16" x14ac:dyDescent="0.3">
      <c r="A198" t="s">
        <v>731</v>
      </c>
      <c r="B198" t="s">
        <v>337</v>
      </c>
      <c r="C198" t="str">
        <f t="shared" si="6"/>
        <v>March</v>
      </c>
      <c r="D198">
        <f t="shared" si="7"/>
        <v>2024</v>
      </c>
      <c r="E198" t="s">
        <v>732</v>
      </c>
      <c r="F198" t="s">
        <v>733</v>
      </c>
      <c r="G198" t="s">
        <v>46</v>
      </c>
      <c r="H198" t="s">
        <v>21</v>
      </c>
      <c r="I198" t="s">
        <v>109</v>
      </c>
      <c r="J198">
        <v>981</v>
      </c>
      <c r="K198">
        <v>2</v>
      </c>
      <c r="L198">
        <v>1962</v>
      </c>
      <c r="M198" t="s">
        <v>30</v>
      </c>
      <c r="N198" t="s">
        <v>24</v>
      </c>
      <c r="O198" t="s">
        <v>84</v>
      </c>
      <c r="P198">
        <v>24</v>
      </c>
    </row>
    <row r="199" spans="1:16" x14ac:dyDescent="0.3">
      <c r="A199" t="s">
        <v>734</v>
      </c>
      <c r="B199" t="s">
        <v>717</v>
      </c>
      <c r="C199" t="str">
        <f t="shared" si="6"/>
        <v>January</v>
      </c>
      <c r="D199">
        <f t="shared" si="7"/>
        <v>2024</v>
      </c>
      <c r="E199" t="s">
        <v>735</v>
      </c>
      <c r="F199" t="s">
        <v>736</v>
      </c>
      <c r="G199" t="s">
        <v>46</v>
      </c>
      <c r="H199" t="s">
        <v>38</v>
      </c>
      <c r="I199" t="s">
        <v>39</v>
      </c>
      <c r="J199">
        <v>1219</v>
      </c>
      <c r="K199">
        <v>5</v>
      </c>
      <c r="L199">
        <v>6095</v>
      </c>
      <c r="M199" t="s">
        <v>54</v>
      </c>
      <c r="N199" t="s">
        <v>31</v>
      </c>
      <c r="O199" t="s">
        <v>55</v>
      </c>
      <c r="P199">
        <v>3</v>
      </c>
    </row>
    <row r="200" spans="1:16" x14ac:dyDescent="0.3">
      <c r="A200" t="s">
        <v>737</v>
      </c>
      <c r="B200" t="s">
        <v>738</v>
      </c>
      <c r="C200" t="str">
        <f t="shared" si="6"/>
        <v>August</v>
      </c>
      <c r="D200">
        <f t="shared" si="7"/>
        <v>2025</v>
      </c>
      <c r="E200" t="s">
        <v>739</v>
      </c>
      <c r="F200" t="s">
        <v>45</v>
      </c>
      <c r="G200" t="s">
        <v>20</v>
      </c>
      <c r="H200" t="s">
        <v>21</v>
      </c>
      <c r="I200" t="s">
        <v>77</v>
      </c>
      <c r="J200">
        <v>969</v>
      </c>
      <c r="K200">
        <v>2</v>
      </c>
      <c r="L200">
        <v>1938</v>
      </c>
      <c r="M200" t="s">
        <v>138</v>
      </c>
      <c r="N200" t="s">
        <v>24</v>
      </c>
      <c r="O200" t="s">
        <v>78</v>
      </c>
      <c r="P200">
        <v>17</v>
      </c>
    </row>
    <row r="201" spans="1:16" x14ac:dyDescent="0.3">
      <c r="A201" t="s">
        <v>740</v>
      </c>
      <c r="B201" t="s">
        <v>677</v>
      </c>
      <c r="C201" t="str">
        <f t="shared" si="6"/>
        <v>February</v>
      </c>
      <c r="D201">
        <f t="shared" si="7"/>
        <v>2024</v>
      </c>
      <c r="E201" t="s">
        <v>157</v>
      </c>
      <c r="F201" t="s">
        <v>741</v>
      </c>
      <c r="G201" t="s">
        <v>20</v>
      </c>
      <c r="H201" t="s">
        <v>21</v>
      </c>
      <c r="I201" t="s">
        <v>53</v>
      </c>
      <c r="J201">
        <v>1007</v>
      </c>
      <c r="K201">
        <v>3</v>
      </c>
      <c r="L201">
        <v>3021</v>
      </c>
      <c r="M201" t="s">
        <v>30</v>
      </c>
      <c r="N201" t="s">
        <v>48</v>
      </c>
      <c r="O201" t="s">
        <v>125</v>
      </c>
      <c r="P201">
        <v>14</v>
      </c>
    </row>
    <row r="202" spans="1:16" x14ac:dyDescent="0.3">
      <c r="A202" t="s">
        <v>742</v>
      </c>
      <c r="B202" t="s">
        <v>743</v>
      </c>
      <c r="C202" t="str">
        <f t="shared" si="6"/>
        <v>May</v>
      </c>
      <c r="D202">
        <f t="shared" si="7"/>
        <v>2025</v>
      </c>
      <c r="E202" t="s">
        <v>744</v>
      </c>
      <c r="F202" t="s">
        <v>449</v>
      </c>
      <c r="G202" t="s">
        <v>46</v>
      </c>
      <c r="H202" t="s">
        <v>21</v>
      </c>
      <c r="I202" t="s">
        <v>77</v>
      </c>
      <c r="J202">
        <v>598</v>
      </c>
      <c r="K202">
        <v>3</v>
      </c>
      <c r="L202">
        <v>1794</v>
      </c>
      <c r="M202" t="s">
        <v>61</v>
      </c>
      <c r="N202" t="s">
        <v>24</v>
      </c>
      <c r="O202" t="s">
        <v>62</v>
      </c>
      <c r="P202">
        <v>12</v>
      </c>
    </row>
    <row r="203" spans="1:16" x14ac:dyDescent="0.3">
      <c r="A203" t="s">
        <v>745</v>
      </c>
      <c r="B203" t="s">
        <v>746</v>
      </c>
      <c r="C203" t="str">
        <f t="shared" si="6"/>
        <v>December</v>
      </c>
      <c r="D203">
        <f t="shared" si="7"/>
        <v>2024</v>
      </c>
      <c r="E203" t="s">
        <v>747</v>
      </c>
      <c r="F203" t="s">
        <v>632</v>
      </c>
      <c r="G203" t="s">
        <v>37</v>
      </c>
      <c r="H203" t="s">
        <v>38</v>
      </c>
      <c r="I203" t="s">
        <v>130</v>
      </c>
      <c r="J203">
        <v>1082</v>
      </c>
      <c r="K203">
        <v>4</v>
      </c>
      <c r="L203">
        <v>4328</v>
      </c>
      <c r="M203" t="s">
        <v>54</v>
      </c>
      <c r="N203" t="s">
        <v>24</v>
      </c>
      <c r="O203" t="s">
        <v>55</v>
      </c>
      <c r="P203">
        <v>2</v>
      </c>
    </row>
    <row r="204" spans="1:16" x14ac:dyDescent="0.3">
      <c r="A204" t="s">
        <v>748</v>
      </c>
      <c r="B204" t="s">
        <v>749</v>
      </c>
      <c r="C204" t="str">
        <f t="shared" si="6"/>
        <v>September</v>
      </c>
      <c r="D204">
        <f t="shared" si="7"/>
        <v>2024</v>
      </c>
      <c r="E204" t="s">
        <v>691</v>
      </c>
      <c r="F204" t="s">
        <v>591</v>
      </c>
      <c r="G204" t="s">
        <v>37</v>
      </c>
      <c r="H204" t="s">
        <v>21</v>
      </c>
      <c r="I204" t="s">
        <v>77</v>
      </c>
      <c r="J204">
        <v>1342</v>
      </c>
      <c r="K204">
        <v>5</v>
      </c>
      <c r="L204">
        <v>6710</v>
      </c>
      <c r="M204" t="s">
        <v>61</v>
      </c>
      <c r="N204" t="s">
        <v>31</v>
      </c>
      <c r="O204" t="s">
        <v>41</v>
      </c>
      <c r="P204">
        <v>11</v>
      </c>
    </row>
    <row r="205" spans="1:16" x14ac:dyDescent="0.3">
      <c r="A205" t="s">
        <v>750</v>
      </c>
      <c r="B205" t="s">
        <v>261</v>
      </c>
      <c r="C205" t="str">
        <f t="shared" si="6"/>
        <v>February</v>
      </c>
      <c r="D205">
        <f t="shared" si="7"/>
        <v>2024</v>
      </c>
      <c r="E205" t="s">
        <v>751</v>
      </c>
      <c r="F205" t="s">
        <v>752</v>
      </c>
      <c r="G205" t="s">
        <v>46</v>
      </c>
      <c r="H205" t="s">
        <v>38</v>
      </c>
      <c r="I205" t="s">
        <v>47</v>
      </c>
      <c r="J205">
        <v>410</v>
      </c>
      <c r="K205">
        <v>5</v>
      </c>
      <c r="L205">
        <v>2050</v>
      </c>
      <c r="M205" t="s">
        <v>138</v>
      </c>
      <c r="N205" t="s">
        <v>48</v>
      </c>
      <c r="O205" t="s">
        <v>25</v>
      </c>
      <c r="P205">
        <v>9</v>
      </c>
    </row>
    <row r="206" spans="1:16" x14ac:dyDescent="0.3">
      <c r="A206" t="s">
        <v>753</v>
      </c>
      <c r="B206" t="s">
        <v>754</v>
      </c>
      <c r="C206" t="str">
        <f t="shared" si="6"/>
        <v>March</v>
      </c>
      <c r="D206">
        <f t="shared" si="7"/>
        <v>2024</v>
      </c>
      <c r="E206" t="s">
        <v>755</v>
      </c>
      <c r="F206" t="s">
        <v>373</v>
      </c>
      <c r="G206" t="s">
        <v>46</v>
      </c>
      <c r="H206" t="s">
        <v>21</v>
      </c>
      <c r="I206" t="s">
        <v>53</v>
      </c>
      <c r="J206">
        <v>1402</v>
      </c>
      <c r="K206">
        <v>3</v>
      </c>
      <c r="L206">
        <v>4206</v>
      </c>
      <c r="M206" t="s">
        <v>23</v>
      </c>
      <c r="N206" t="s">
        <v>48</v>
      </c>
      <c r="O206" t="s">
        <v>125</v>
      </c>
      <c r="P206">
        <v>17</v>
      </c>
    </row>
    <row r="207" spans="1:16" x14ac:dyDescent="0.3">
      <c r="A207" t="s">
        <v>756</v>
      </c>
      <c r="B207" t="s">
        <v>757</v>
      </c>
      <c r="C207" t="str">
        <f t="shared" si="6"/>
        <v>August</v>
      </c>
      <c r="D207">
        <f t="shared" si="7"/>
        <v>2024</v>
      </c>
      <c r="E207" t="s">
        <v>758</v>
      </c>
      <c r="F207" t="s">
        <v>598</v>
      </c>
      <c r="G207" t="s">
        <v>20</v>
      </c>
      <c r="H207" t="s">
        <v>21</v>
      </c>
      <c r="I207" t="s">
        <v>114</v>
      </c>
      <c r="J207">
        <v>606</v>
      </c>
      <c r="K207">
        <v>5</v>
      </c>
      <c r="L207">
        <v>3030</v>
      </c>
      <c r="M207" t="s">
        <v>138</v>
      </c>
      <c r="N207" t="s">
        <v>31</v>
      </c>
      <c r="O207" t="s">
        <v>25</v>
      </c>
      <c r="P207">
        <v>4</v>
      </c>
    </row>
    <row r="208" spans="1:16" x14ac:dyDescent="0.3">
      <c r="A208" t="s">
        <v>759</v>
      </c>
      <c r="B208" t="s">
        <v>760</v>
      </c>
      <c r="C208" t="str">
        <f t="shared" si="6"/>
        <v>April</v>
      </c>
      <c r="D208">
        <f t="shared" si="7"/>
        <v>2025</v>
      </c>
      <c r="E208" t="s">
        <v>761</v>
      </c>
      <c r="F208" t="s">
        <v>762</v>
      </c>
      <c r="G208" t="s">
        <v>20</v>
      </c>
      <c r="H208" t="s">
        <v>21</v>
      </c>
      <c r="I208" t="s">
        <v>53</v>
      </c>
      <c r="J208">
        <v>958</v>
      </c>
      <c r="K208">
        <v>3</v>
      </c>
      <c r="L208">
        <v>2874</v>
      </c>
      <c r="M208" t="s">
        <v>138</v>
      </c>
      <c r="N208" t="s">
        <v>31</v>
      </c>
      <c r="O208" t="s">
        <v>84</v>
      </c>
      <c r="P208">
        <v>13</v>
      </c>
    </row>
    <row r="209" spans="1:16" x14ac:dyDescent="0.3">
      <c r="A209" t="s">
        <v>763</v>
      </c>
      <c r="B209" t="s">
        <v>686</v>
      </c>
      <c r="C209" t="str">
        <f t="shared" si="6"/>
        <v>March</v>
      </c>
      <c r="D209">
        <f t="shared" si="7"/>
        <v>2025</v>
      </c>
      <c r="E209" t="s">
        <v>764</v>
      </c>
      <c r="F209" t="s">
        <v>333</v>
      </c>
      <c r="G209" t="s">
        <v>37</v>
      </c>
      <c r="H209" t="s">
        <v>71</v>
      </c>
      <c r="I209" t="s">
        <v>124</v>
      </c>
      <c r="J209">
        <v>611</v>
      </c>
      <c r="K209">
        <v>3</v>
      </c>
      <c r="L209">
        <v>1833</v>
      </c>
      <c r="M209" t="s">
        <v>138</v>
      </c>
      <c r="N209" t="s">
        <v>48</v>
      </c>
      <c r="O209" t="s">
        <v>84</v>
      </c>
      <c r="P209">
        <v>0</v>
      </c>
    </row>
    <row r="210" spans="1:16" x14ac:dyDescent="0.3">
      <c r="A210" t="s">
        <v>765</v>
      </c>
      <c r="B210" t="s">
        <v>766</v>
      </c>
      <c r="C210" t="str">
        <f t="shared" si="6"/>
        <v>October</v>
      </c>
      <c r="D210">
        <f t="shared" si="7"/>
        <v>2024</v>
      </c>
      <c r="E210" t="s">
        <v>455</v>
      </c>
      <c r="F210" t="s">
        <v>767</v>
      </c>
      <c r="G210" t="s">
        <v>46</v>
      </c>
      <c r="H210" t="s">
        <v>21</v>
      </c>
      <c r="I210" t="s">
        <v>22</v>
      </c>
      <c r="J210">
        <v>405</v>
      </c>
      <c r="K210">
        <v>4</v>
      </c>
      <c r="L210">
        <v>1620</v>
      </c>
      <c r="M210" t="s">
        <v>30</v>
      </c>
      <c r="N210" t="s">
        <v>31</v>
      </c>
      <c r="O210" t="s">
        <v>84</v>
      </c>
      <c r="P210">
        <v>24</v>
      </c>
    </row>
    <row r="211" spans="1:16" x14ac:dyDescent="0.3">
      <c r="A211" t="s">
        <v>768</v>
      </c>
      <c r="B211" t="s">
        <v>769</v>
      </c>
      <c r="C211" t="str">
        <f t="shared" si="6"/>
        <v>March</v>
      </c>
      <c r="D211">
        <f t="shared" si="7"/>
        <v>2025</v>
      </c>
      <c r="E211" t="s">
        <v>770</v>
      </c>
      <c r="F211" t="s">
        <v>771</v>
      </c>
      <c r="G211" t="s">
        <v>20</v>
      </c>
      <c r="H211" t="s">
        <v>71</v>
      </c>
      <c r="I211" t="s">
        <v>96</v>
      </c>
      <c r="J211">
        <v>937</v>
      </c>
      <c r="K211">
        <v>2</v>
      </c>
      <c r="L211">
        <v>1874</v>
      </c>
      <c r="M211" t="s">
        <v>138</v>
      </c>
      <c r="N211" t="s">
        <v>40</v>
      </c>
      <c r="O211" t="s">
        <v>32</v>
      </c>
      <c r="P211">
        <v>7</v>
      </c>
    </row>
    <row r="212" spans="1:16" x14ac:dyDescent="0.3">
      <c r="A212" t="s">
        <v>772</v>
      </c>
      <c r="B212" t="s">
        <v>773</v>
      </c>
      <c r="C212" t="str">
        <f t="shared" si="6"/>
        <v>April</v>
      </c>
      <c r="D212">
        <f t="shared" si="7"/>
        <v>2024</v>
      </c>
      <c r="E212" t="s">
        <v>774</v>
      </c>
      <c r="F212" t="s">
        <v>339</v>
      </c>
      <c r="G212" t="s">
        <v>37</v>
      </c>
      <c r="H212" t="s">
        <v>71</v>
      </c>
      <c r="I212" t="s">
        <v>96</v>
      </c>
      <c r="J212">
        <v>1285</v>
      </c>
      <c r="K212">
        <v>4</v>
      </c>
      <c r="L212">
        <v>5140</v>
      </c>
      <c r="M212" t="s">
        <v>61</v>
      </c>
      <c r="N212" t="s">
        <v>31</v>
      </c>
      <c r="O212" t="s">
        <v>55</v>
      </c>
      <c r="P212">
        <v>10</v>
      </c>
    </row>
    <row r="213" spans="1:16" x14ac:dyDescent="0.3">
      <c r="A213" t="s">
        <v>775</v>
      </c>
      <c r="B213" t="s">
        <v>776</v>
      </c>
      <c r="C213" t="str">
        <f t="shared" si="6"/>
        <v>December</v>
      </c>
      <c r="D213">
        <f t="shared" si="7"/>
        <v>2024</v>
      </c>
      <c r="E213" t="s">
        <v>777</v>
      </c>
      <c r="F213" t="s">
        <v>778</v>
      </c>
      <c r="G213" t="s">
        <v>37</v>
      </c>
      <c r="H213" t="s">
        <v>21</v>
      </c>
      <c r="I213" t="s">
        <v>114</v>
      </c>
      <c r="J213">
        <v>820</v>
      </c>
      <c r="K213">
        <v>5</v>
      </c>
      <c r="L213">
        <v>4100</v>
      </c>
      <c r="M213" t="s">
        <v>23</v>
      </c>
      <c r="N213" t="s">
        <v>24</v>
      </c>
      <c r="O213" t="s">
        <v>41</v>
      </c>
      <c r="P213">
        <v>15</v>
      </c>
    </row>
    <row r="214" spans="1:16" x14ac:dyDescent="0.3">
      <c r="A214" t="s">
        <v>779</v>
      </c>
      <c r="B214" t="s">
        <v>780</v>
      </c>
      <c r="C214" t="str">
        <f t="shared" si="6"/>
        <v>June</v>
      </c>
      <c r="D214">
        <f t="shared" si="7"/>
        <v>2024</v>
      </c>
      <c r="E214" t="s">
        <v>489</v>
      </c>
      <c r="F214" t="s">
        <v>598</v>
      </c>
      <c r="G214" t="s">
        <v>46</v>
      </c>
      <c r="H214" t="s">
        <v>71</v>
      </c>
      <c r="I214" t="s">
        <v>124</v>
      </c>
      <c r="J214">
        <v>777</v>
      </c>
      <c r="K214">
        <v>1</v>
      </c>
      <c r="L214">
        <v>777</v>
      </c>
      <c r="M214" t="s">
        <v>138</v>
      </c>
      <c r="N214" t="s">
        <v>24</v>
      </c>
      <c r="O214" t="s">
        <v>25</v>
      </c>
      <c r="P214">
        <v>5</v>
      </c>
    </row>
    <row r="215" spans="1:16" x14ac:dyDescent="0.3">
      <c r="A215" t="s">
        <v>781</v>
      </c>
      <c r="B215" t="s">
        <v>382</v>
      </c>
      <c r="C215" t="str">
        <f t="shared" si="6"/>
        <v>May</v>
      </c>
      <c r="D215">
        <f t="shared" si="7"/>
        <v>2025</v>
      </c>
      <c r="E215" t="s">
        <v>782</v>
      </c>
      <c r="F215" t="s">
        <v>783</v>
      </c>
      <c r="G215" t="s">
        <v>46</v>
      </c>
      <c r="H215" t="s">
        <v>38</v>
      </c>
      <c r="I215" t="s">
        <v>39</v>
      </c>
      <c r="J215">
        <v>883</v>
      </c>
      <c r="K215">
        <v>3</v>
      </c>
      <c r="L215">
        <v>2649</v>
      </c>
      <c r="M215" t="s">
        <v>23</v>
      </c>
      <c r="N215" t="s">
        <v>31</v>
      </c>
      <c r="O215" t="s">
        <v>62</v>
      </c>
      <c r="P215">
        <v>17</v>
      </c>
    </row>
    <row r="216" spans="1:16" x14ac:dyDescent="0.3">
      <c r="A216" t="s">
        <v>784</v>
      </c>
      <c r="B216" t="s">
        <v>785</v>
      </c>
      <c r="C216" t="str">
        <f t="shared" si="6"/>
        <v>April</v>
      </c>
      <c r="D216">
        <f t="shared" si="7"/>
        <v>2025</v>
      </c>
      <c r="E216" t="s">
        <v>786</v>
      </c>
      <c r="F216" t="s">
        <v>787</v>
      </c>
      <c r="G216" t="s">
        <v>37</v>
      </c>
      <c r="H216" t="s">
        <v>38</v>
      </c>
      <c r="I216" t="s">
        <v>60</v>
      </c>
      <c r="J216">
        <v>261</v>
      </c>
      <c r="K216">
        <v>3</v>
      </c>
      <c r="L216">
        <v>783</v>
      </c>
      <c r="M216" t="s">
        <v>61</v>
      </c>
      <c r="N216" t="s">
        <v>48</v>
      </c>
      <c r="O216" t="s">
        <v>125</v>
      </c>
      <c r="P216">
        <v>19</v>
      </c>
    </row>
    <row r="217" spans="1:16" x14ac:dyDescent="0.3">
      <c r="A217" t="s">
        <v>788</v>
      </c>
      <c r="B217" t="s">
        <v>789</v>
      </c>
      <c r="C217" t="str">
        <f t="shared" si="6"/>
        <v>May</v>
      </c>
      <c r="D217">
        <f t="shared" si="7"/>
        <v>2025</v>
      </c>
      <c r="E217" t="s">
        <v>790</v>
      </c>
      <c r="F217" t="s">
        <v>275</v>
      </c>
      <c r="G217" t="s">
        <v>37</v>
      </c>
      <c r="H217" t="s">
        <v>21</v>
      </c>
      <c r="I217" t="s">
        <v>114</v>
      </c>
      <c r="J217">
        <v>1201</v>
      </c>
      <c r="K217">
        <v>2</v>
      </c>
      <c r="L217">
        <v>2402</v>
      </c>
      <c r="M217" t="s">
        <v>30</v>
      </c>
      <c r="N217" t="s">
        <v>48</v>
      </c>
      <c r="O217" t="s">
        <v>62</v>
      </c>
      <c r="P217">
        <v>0</v>
      </c>
    </row>
    <row r="218" spans="1:16" x14ac:dyDescent="0.3">
      <c r="A218" t="s">
        <v>791</v>
      </c>
      <c r="B218" t="s">
        <v>792</v>
      </c>
      <c r="C218" t="str">
        <f t="shared" si="6"/>
        <v>December</v>
      </c>
      <c r="D218">
        <f t="shared" si="7"/>
        <v>2024</v>
      </c>
      <c r="E218" t="s">
        <v>793</v>
      </c>
      <c r="F218" t="s">
        <v>467</v>
      </c>
      <c r="G218" t="s">
        <v>37</v>
      </c>
      <c r="H218" t="s">
        <v>21</v>
      </c>
      <c r="I218" t="s">
        <v>109</v>
      </c>
      <c r="J218">
        <v>1173</v>
      </c>
      <c r="K218">
        <v>4</v>
      </c>
      <c r="L218">
        <v>4692</v>
      </c>
      <c r="M218" t="s">
        <v>23</v>
      </c>
      <c r="N218" t="s">
        <v>31</v>
      </c>
      <c r="O218" t="s">
        <v>25</v>
      </c>
      <c r="P218">
        <v>28</v>
      </c>
    </row>
    <row r="219" spans="1:16" x14ac:dyDescent="0.3">
      <c r="A219" t="s">
        <v>794</v>
      </c>
      <c r="B219" t="s">
        <v>795</v>
      </c>
      <c r="C219" t="str">
        <f t="shared" si="6"/>
        <v>August</v>
      </c>
      <c r="D219">
        <f t="shared" si="7"/>
        <v>2024</v>
      </c>
      <c r="E219" t="s">
        <v>509</v>
      </c>
      <c r="F219" t="s">
        <v>392</v>
      </c>
      <c r="G219" t="s">
        <v>20</v>
      </c>
      <c r="H219" t="s">
        <v>38</v>
      </c>
      <c r="I219" t="s">
        <v>39</v>
      </c>
      <c r="J219">
        <v>854</v>
      </c>
      <c r="K219">
        <v>3</v>
      </c>
      <c r="L219">
        <v>2562</v>
      </c>
      <c r="M219" t="s">
        <v>61</v>
      </c>
      <c r="N219" t="s">
        <v>48</v>
      </c>
      <c r="O219" t="s">
        <v>84</v>
      </c>
      <c r="P219">
        <v>15</v>
      </c>
    </row>
    <row r="220" spans="1:16" x14ac:dyDescent="0.3">
      <c r="A220" t="s">
        <v>796</v>
      </c>
      <c r="B220" t="s">
        <v>797</v>
      </c>
      <c r="C220" t="str">
        <f t="shared" si="6"/>
        <v>September</v>
      </c>
      <c r="D220">
        <f t="shared" si="7"/>
        <v>2024</v>
      </c>
      <c r="E220" t="s">
        <v>798</v>
      </c>
      <c r="F220" t="s">
        <v>799</v>
      </c>
      <c r="G220" t="s">
        <v>46</v>
      </c>
      <c r="H220" t="s">
        <v>38</v>
      </c>
      <c r="I220" t="s">
        <v>60</v>
      </c>
      <c r="J220">
        <v>855</v>
      </c>
      <c r="K220">
        <v>4</v>
      </c>
      <c r="L220">
        <v>3420</v>
      </c>
      <c r="M220" t="s">
        <v>54</v>
      </c>
      <c r="N220" t="s">
        <v>31</v>
      </c>
      <c r="O220" t="s">
        <v>55</v>
      </c>
      <c r="P220">
        <v>17</v>
      </c>
    </row>
    <row r="221" spans="1:16" x14ac:dyDescent="0.3">
      <c r="A221" t="s">
        <v>800</v>
      </c>
      <c r="B221" t="s">
        <v>349</v>
      </c>
      <c r="C221" t="str">
        <f t="shared" si="6"/>
        <v>October</v>
      </c>
      <c r="D221">
        <f t="shared" si="7"/>
        <v>2024</v>
      </c>
      <c r="E221" t="s">
        <v>801</v>
      </c>
      <c r="F221" t="s">
        <v>647</v>
      </c>
      <c r="G221" t="s">
        <v>46</v>
      </c>
      <c r="H221" t="s">
        <v>71</v>
      </c>
      <c r="I221" t="s">
        <v>96</v>
      </c>
      <c r="J221">
        <v>894</v>
      </c>
      <c r="K221">
        <v>5</v>
      </c>
      <c r="L221">
        <v>4470</v>
      </c>
      <c r="M221" t="s">
        <v>23</v>
      </c>
      <c r="N221" t="s">
        <v>48</v>
      </c>
      <c r="O221" t="s">
        <v>55</v>
      </c>
      <c r="P221">
        <v>15</v>
      </c>
    </row>
    <row r="222" spans="1:16" x14ac:dyDescent="0.3">
      <c r="A222" t="s">
        <v>802</v>
      </c>
      <c r="B222" t="s">
        <v>803</v>
      </c>
      <c r="C222" t="str">
        <f t="shared" si="6"/>
        <v>May</v>
      </c>
      <c r="D222">
        <f t="shared" si="7"/>
        <v>2024</v>
      </c>
      <c r="E222" t="s">
        <v>420</v>
      </c>
      <c r="F222" t="s">
        <v>804</v>
      </c>
      <c r="G222" t="s">
        <v>46</v>
      </c>
      <c r="H222" t="s">
        <v>71</v>
      </c>
      <c r="I222" t="s">
        <v>83</v>
      </c>
      <c r="J222">
        <v>986</v>
      </c>
      <c r="K222">
        <v>1</v>
      </c>
      <c r="L222">
        <v>986</v>
      </c>
      <c r="M222" t="s">
        <v>138</v>
      </c>
      <c r="N222" t="s">
        <v>24</v>
      </c>
      <c r="O222" t="s">
        <v>41</v>
      </c>
      <c r="P222">
        <v>9</v>
      </c>
    </row>
    <row r="223" spans="1:16" x14ac:dyDescent="0.3">
      <c r="A223" t="s">
        <v>805</v>
      </c>
      <c r="B223" t="s">
        <v>806</v>
      </c>
      <c r="C223" t="str">
        <f t="shared" si="6"/>
        <v>September</v>
      </c>
      <c r="D223">
        <f t="shared" si="7"/>
        <v>2024</v>
      </c>
      <c r="E223" t="s">
        <v>807</v>
      </c>
      <c r="F223" t="s">
        <v>808</v>
      </c>
      <c r="G223" t="s">
        <v>37</v>
      </c>
      <c r="H223" t="s">
        <v>71</v>
      </c>
      <c r="I223" t="s">
        <v>96</v>
      </c>
      <c r="J223">
        <v>1381</v>
      </c>
      <c r="K223">
        <v>2</v>
      </c>
      <c r="L223">
        <v>2762</v>
      </c>
      <c r="M223" t="s">
        <v>30</v>
      </c>
      <c r="N223" t="s">
        <v>24</v>
      </c>
      <c r="O223" t="s">
        <v>78</v>
      </c>
      <c r="P223">
        <v>17</v>
      </c>
    </row>
    <row r="224" spans="1:16" x14ac:dyDescent="0.3">
      <c r="A224" t="s">
        <v>809</v>
      </c>
      <c r="B224" t="s">
        <v>810</v>
      </c>
      <c r="C224" t="str">
        <f t="shared" si="6"/>
        <v>September</v>
      </c>
      <c r="D224">
        <f t="shared" si="7"/>
        <v>2024</v>
      </c>
      <c r="E224" t="s">
        <v>811</v>
      </c>
      <c r="F224" t="s">
        <v>812</v>
      </c>
      <c r="G224" t="s">
        <v>20</v>
      </c>
      <c r="H224" t="s">
        <v>71</v>
      </c>
      <c r="I224" t="s">
        <v>119</v>
      </c>
      <c r="J224">
        <v>1281</v>
      </c>
      <c r="K224">
        <v>3</v>
      </c>
      <c r="L224">
        <v>3843</v>
      </c>
      <c r="M224" t="s">
        <v>54</v>
      </c>
      <c r="N224" t="s">
        <v>24</v>
      </c>
      <c r="O224" t="s">
        <v>84</v>
      </c>
      <c r="P224">
        <v>23</v>
      </c>
    </row>
    <row r="225" spans="1:16" x14ac:dyDescent="0.3">
      <c r="A225" t="s">
        <v>813</v>
      </c>
      <c r="B225" t="s">
        <v>814</v>
      </c>
      <c r="C225" t="str">
        <f t="shared" si="6"/>
        <v>June</v>
      </c>
      <c r="D225">
        <f t="shared" si="7"/>
        <v>2024</v>
      </c>
      <c r="E225" t="s">
        <v>550</v>
      </c>
      <c r="F225" t="s">
        <v>88</v>
      </c>
      <c r="G225" t="s">
        <v>20</v>
      </c>
      <c r="H225" t="s">
        <v>71</v>
      </c>
      <c r="I225" t="s">
        <v>83</v>
      </c>
      <c r="J225">
        <v>256</v>
      </c>
      <c r="K225">
        <v>4</v>
      </c>
      <c r="L225">
        <v>1024</v>
      </c>
      <c r="M225" t="s">
        <v>61</v>
      </c>
      <c r="N225" t="s">
        <v>40</v>
      </c>
      <c r="O225" t="s">
        <v>62</v>
      </c>
      <c r="P225">
        <v>27</v>
      </c>
    </row>
    <row r="226" spans="1:16" x14ac:dyDescent="0.3">
      <c r="A226" t="s">
        <v>815</v>
      </c>
      <c r="B226" t="s">
        <v>292</v>
      </c>
      <c r="C226" t="str">
        <f t="shared" si="6"/>
        <v>February</v>
      </c>
      <c r="D226">
        <f t="shared" si="7"/>
        <v>2024</v>
      </c>
      <c r="E226" t="s">
        <v>816</v>
      </c>
      <c r="F226" t="s">
        <v>435</v>
      </c>
      <c r="G226" t="s">
        <v>20</v>
      </c>
      <c r="H226" t="s">
        <v>38</v>
      </c>
      <c r="I226" t="s">
        <v>39</v>
      </c>
      <c r="J226">
        <v>488</v>
      </c>
      <c r="K226">
        <v>1</v>
      </c>
      <c r="L226">
        <v>488</v>
      </c>
      <c r="M226" t="s">
        <v>138</v>
      </c>
      <c r="N226" t="s">
        <v>48</v>
      </c>
      <c r="O226" t="s">
        <v>25</v>
      </c>
      <c r="P226">
        <v>24</v>
      </c>
    </row>
    <row r="227" spans="1:16" x14ac:dyDescent="0.3">
      <c r="A227" t="s">
        <v>817</v>
      </c>
      <c r="B227" t="s">
        <v>818</v>
      </c>
      <c r="C227" t="str">
        <f t="shared" si="6"/>
        <v>March</v>
      </c>
      <c r="D227">
        <f t="shared" si="7"/>
        <v>2024</v>
      </c>
      <c r="E227" t="s">
        <v>51</v>
      </c>
      <c r="F227" t="s">
        <v>108</v>
      </c>
      <c r="G227" t="s">
        <v>46</v>
      </c>
      <c r="H227" t="s">
        <v>38</v>
      </c>
      <c r="I227" t="s">
        <v>60</v>
      </c>
      <c r="J227">
        <v>840</v>
      </c>
      <c r="K227">
        <v>5</v>
      </c>
      <c r="L227">
        <v>4200</v>
      </c>
      <c r="M227" t="s">
        <v>54</v>
      </c>
      <c r="N227" t="s">
        <v>48</v>
      </c>
      <c r="O227" t="s">
        <v>55</v>
      </c>
      <c r="P227">
        <v>7</v>
      </c>
    </row>
    <row r="228" spans="1:16" x14ac:dyDescent="0.3">
      <c r="A228" t="s">
        <v>819</v>
      </c>
      <c r="B228" t="s">
        <v>820</v>
      </c>
      <c r="C228" t="str">
        <f t="shared" si="6"/>
        <v>April</v>
      </c>
      <c r="D228">
        <f t="shared" si="7"/>
        <v>2024</v>
      </c>
      <c r="E228" t="s">
        <v>821</v>
      </c>
      <c r="F228" t="s">
        <v>822</v>
      </c>
      <c r="G228" t="s">
        <v>46</v>
      </c>
      <c r="H228" t="s">
        <v>71</v>
      </c>
      <c r="I228" t="s">
        <v>119</v>
      </c>
      <c r="J228">
        <v>521</v>
      </c>
      <c r="K228">
        <v>2</v>
      </c>
      <c r="L228">
        <v>1042</v>
      </c>
      <c r="M228" t="s">
        <v>138</v>
      </c>
      <c r="N228" t="s">
        <v>31</v>
      </c>
      <c r="O228" t="s">
        <v>125</v>
      </c>
      <c r="P228">
        <v>30</v>
      </c>
    </row>
    <row r="229" spans="1:16" x14ac:dyDescent="0.3">
      <c r="A229" t="s">
        <v>823</v>
      </c>
      <c r="B229" t="s">
        <v>549</v>
      </c>
      <c r="C229" t="str">
        <f t="shared" si="6"/>
        <v>June</v>
      </c>
      <c r="D229">
        <f t="shared" si="7"/>
        <v>2025</v>
      </c>
      <c r="E229" t="s">
        <v>824</v>
      </c>
      <c r="F229" t="s">
        <v>825</v>
      </c>
      <c r="G229" t="s">
        <v>46</v>
      </c>
      <c r="H229" t="s">
        <v>21</v>
      </c>
      <c r="I229" t="s">
        <v>114</v>
      </c>
      <c r="J229">
        <v>1016</v>
      </c>
      <c r="K229">
        <v>3</v>
      </c>
      <c r="L229">
        <v>3048</v>
      </c>
      <c r="M229" t="s">
        <v>138</v>
      </c>
      <c r="N229" t="s">
        <v>40</v>
      </c>
      <c r="O229" t="s">
        <v>32</v>
      </c>
      <c r="P229">
        <v>15</v>
      </c>
    </row>
    <row r="230" spans="1:16" x14ac:dyDescent="0.3">
      <c r="A230" t="s">
        <v>826</v>
      </c>
      <c r="B230" t="s">
        <v>827</v>
      </c>
      <c r="C230" t="str">
        <f t="shared" si="6"/>
        <v>June</v>
      </c>
      <c r="D230">
        <f t="shared" si="7"/>
        <v>2025</v>
      </c>
      <c r="E230" t="s">
        <v>828</v>
      </c>
      <c r="F230" t="s">
        <v>829</v>
      </c>
      <c r="G230" t="s">
        <v>46</v>
      </c>
      <c r="H230" t="s">
        <v>38</v>
      </c>
      <c r="I230" t="s">
        <v>47</v>
      </c>
      <c r="J230">
        <v>1025</v>
      </c>
      <c r="K230">
        <v>1</v>
      </c>
      <c r="L230">
        <v>1025</v>
      </c>
      <c r="M230" t="s">
        <v>23</v>
      </c>
      <c r="N230" t="s">
        <v>40</v>
      </c>
      <c r="O230" t="s">
        <v>125</v>
      </c>
      <c r="P230">
        <v>5</v>
      </c>
    </row>
    <row r="231" spans="1:16" x14ac:dyDescent="0.3">
      <c r="A231" t="s">
        <v>830</v>
      </c>
      <c r="B231" t="s">
        <v>431</v>
      </c>
      <c r="C231" t="str">
        <f t="shared" si="6"/>
        <v>December</v>
      </c>
      <c r="D231">
        <f t="shared" si="7"/>
        <v>2024</v>
      </c>
      <c r="E231" t="s">
        <v>831</v>
      </c>
      <c r="F231" t="s">
        <v>832</v>
      </c>
      <c r="G231" t="s">
        <v>37</v>
      </c>
      <c r="H231" t="s">
        <v>38</v>
      </c>
      <c r="I231" t="s">
        <v>325</v>
      </c>
      <c r="J231">
        <v>1190</v>
      </c>
      <c r="K231">
        <v>4</v>
      </c>
      <c r="L231">
        <v>4760</v>
      </c>
      <c r="M231" t="s">
        <v>138</v>
      </c>
      <c r="N231" t="s">
        <v>24</v>
      </c>
      <c r="O231" t="s">
        <v>32</v>
      </c>
      <c r="P231">
        <v>28</v>
      </c>
    </row>
    <row r="232" spans="1:16" x14ac:dyDescent="0.3">
      <c r="A232" t="s">
        <v>833</v>
      </c>
      <c r="B232" t="s">
        <v>834</v>
      </c>
      <c r="C232" t="str">
        <f t="shared" si="6"/>
        <v>July</v>
      </c>
      <c r="D232">
        <f t="shared" si="7"/>
        <v>2025</v>
      </c>
      <c r="E232" t="s">
        <v>835</v>
      </c>
      <c r="F232" t="s">
        <v>836</v>
      </c>
      <c r="G232" t="s">
        <v>20</v>
      </c>
      <c r="H232" t="s">
        <v>71</v>
      </c>
      <c r="I232" t="s">
        <v>119</v>
      </c>
      <c r="J232">
        <v>885</v>
      </c>
      <c r="K232">
        <v>2</v>
      </c>
      <c r="L232">
        <v>1770</v>
      </c>
      <c r="M232" t="s">
        <v>61</v>
      </c>
      <c r="N232" t="s">
        <v>31</v>
      </c>
      <c r="O232" t="s">
        <v>55</v>
      </c>
      <c r="P232">
        <v>15</v>
      </c>
    </row>
    <row r="233" spans="1:16" x14ac:dyDescent="0.3">
      <c r="A233" t="s">
        <v>837</v>
      </c>
      <c r="B233" t="s">
        <v>838</v>
      </c>
      <c r="C233" t="str">
        <f t="shared" si="6"/>
        <v>August</v>
      </c>
      <c r="D233">
        <f t="shared" si="7"/>
        <v>2024</v>
      </c>
      <c r="E233" t="s">
        <v>839</v>
      </c>
      <c r="F233" t="s">
        <v>100</v>
      </c>
      <c r="G233" t="s">
        <v>20</v>
      </c>
      <c r="H233" t="s">
        <v>38</v>
      </c>
      <c r="I233" t="s">
        <v>130</v>
      </c>
      <c r="J233">
        <v>789</v>
      </c>
      <c r="K233">
        <v>5</v>
      </c>
      <c r="L233">
        <v>3945</v>
      </c>
      <c r="M233" t="s">
        <v>30</v>
      </c>
      <c r="N233" t="s">
        <v>24</v>
      </c>
      <c r="O233" t="s">
        <v>25</v>
      </c>
      <c r="P233">
        <v>11</v>
      </c>
    </row>
    <row r="234" spans="1:16" x14ac:dyDescent="0.3">
      <c r="A234" t="s">
        <v>840</v>
      </c>
      <c r="B234" t="s">
        <v>841</v>
      </c>
      <c r="C234" t="str">
        <f t="shared" si="6"/>
        <v>June</v>
      </c>
      <c r="D234">
        <f t="shared" si="7"/>
        <v>2025</v>
      </c>
      <c r="E234" t="s">
        <v>842</v>
      </c>
      <c r="F234" t="s">
        <v>486</v>
      </c>
      <c r="G234" t="s">
        <v>37</v>
      </c>
      <c r="H234" t="s">
        <v>38</v>
      </c>
      <c r="I234" t="s">
        <v>130</v>
      </c>
      <c r="J234">
        <v>648</v>
      </c>
      <c r="K234">
        <v>5</v>
      </c>
      <c r="L234">
        <v>3240</v>
      </c>
      <c r="M234" t="s">
        <v>54</v>
      </c>
      <c r="N234" t="s">
        <v>48</v>
      </c>
      <c r="O234" t="s">
        <v>78</v>
      </c>
      <c r="P234">
        <v>30</v>
      </c>
    </row>
    <row r="235" spans="1:16" x14ac:dyDescent="0.3">
      <c r="A235" t="s">
        <v>843</v>
      </c>
      <c r="B235" t="s">
        <v>844</v>
      </c>
      <c r="C235" t="str">
        <f t="shared" si="6"/>
        <v>January</v>
      </c>
      <c r="D235">
        <f t="shared" si="7"/>
        <v>2025</v>
      </c>
      <c r="E235" t="s">
        <v>845</v>
      </c>
      <c r="F235" t="s">
        <v>846</v>
      </c>
      <c r="G235" t="s">
        <v>37</v>
      </c>
      <c r="H235" t="s">
        <v>38</v>
      </c>
      <c r="I235" t="s">
        <v>39</v>
      </c>
      <c r="J235">
        <v>932</v>
      </c>
      <c r="K235">
        <v>1</v>
      </c>
      <c r="L235">
        <v>932</v>
      </c>
      <c r="M235" t="s">
        <v>138</v>
      </c>
      <c r="N235" t="s">
        <v>40</v>
      </c>
      <c r="O235" t="s">
        <v>125</v>
      </c>
      <c r="P235">
        <v>9</v>
      </c>
    </row>
    <row r="236" spans="1:16" x14ac:dyDescent="0.3">
      <c r="A236" t="s">
        <v>847</v>
      </c>
      <c r="B236" t="s">
        <v>848</v>
      </c>
      <c r="C236" t="str">
        <f t="shared" si="6"/>
        <v>November</v>
      </c>
      <c r="D236">
        <f t="shared" si="7"/>
        <v>2024</v>
      </c>
      <c r="E236" t="s">
        <v>849</v>
      </c>
      <c r="F236" t="s">
        <v>850</v>
      </c>
      <c r="G236" t="s">
        <v>20</v>
      </c>
      <c r="H236" t="s">
        <v>38</v>
      </c>
      <c r="I236" t="s">
        <v>47</v>
      </c>
      <c r="J236">
        <v>1317</v>
      </c>
      <c r="K236">
        <v>3</v>
      </c>
      <c r="L236">
        <v>3951</v>
      </c>
      <c r="M236" t="s">
        <v>30</v>
      </c>
      <c r="N236" t="s">
        <v>24</v>
      </c>
      <c r="O236" t="s">
        <v>84</v>
      </c>
      <c r="P236">
        <v>11</v>
      </c>
    </row>
    <row r="237" spans="1:16" x14ac:dyDescent="0.3">
      <c r="A237" t="s">
        <v>851</v>
      </c>
      <c r="B237" t="s">
        <v>852</v>
      </c>
      <c r="C237" t="str">
        <f t="shared" si="6"/>
        <v>March</v>
      </c>
      <c r="D237">
        <f t="shared" si="7"/>
        <v>2024</v>
      </c>
      <c r="E237" t="s">
        <v>853</v>
      </c>
      <c r="F237" t="s">
        <v>854</v>
      </c>
      <c r="G237" t="s">
        <v>20</v>
      </c>
      <c r="H237" t="s">
        <v>71</v>
      </c>
      <c r="I237" t="s">
        <v>72</v>
      </c>
      <c r="J237">
        <v>1485</v>
      </c>
      <c r="K237">
        <v>2</v>
      </c>
      <c r="L237">
        <v>2970</v>
      </c>
      <c r="M237" t="s">
        <v>23</v>
      </c>
      <c r="N237" t="s">
        <v>31</v>
      </c>
      <c r="O237" t="s">
        <v>32</v>
      </c>
      <c r="P237">
        <v>7</v>
      </c>
    </row>
    <row r="238" spans="1:16" x14ac:dyDescent="0.3">
      <c r="A238" t="s">
        <v>855</v>
      </c>
      <c r="B238" t="s">
        <v>856</v>
      </c>
      <c r="C238" t="str">
        <f t="shared" si="6"/>
        <v>March</v>
      </c>
      <c r="D238">
        <f t="shared" si="7"/>
        <v>2025</v>
      </c>
      <c r="E238" t="s">
        <v>857</v>
      </c>
      <c r="F238" t="s">
        <v>858</v>
      </c>
      <c r="G238" t="s">
        <v>37</v>
      </c>
      <c r="H238" t="s">
        <v>38</v>
      </c>
      <c r="I238" t="s">
        <v>47</v>
      </c>
      <c r="J238">
        <v>708</v>
      </c>
      <c r="K238">
        <v>5</v>
      </c>
      <c r="L238">
        <v>3540</v>
      </c>
      <c r="M238" t="s">
        <v>61</v>
      </c>
      <c r="N238" t="s">
        <v>48</v>
      </c>
      <c r="O238" t="s">
        <v>84</v>
      </c>
      <c r="P238">
        <v>24</v>
      </c>
    </row>
    <row r="239" spans="1:16" x14ac:dyDescent="0.3">
      <c r="A239" t="s">
        <v>859</v>
      </c>
      <c r="B239" t="s">
        <v>860</v>
      </c>
      <c r="C239" t="str">
        <f t="shared" si="6"/>
        <v>April</v>
      </c>
      <c r="D239">
        <f t="shared" si="7"/>
        <v>2024</v>
      </c>
      <c r="E239" t="s">
        <v>861</v>
      </c>
      <c r="F239" t="s">
        <v>862</v>
      </c>
      <c r="G239" t="s">
        <v>46</v>
      </c>
      <c r="H239" t="s">
        <v>38</v>
      </c>
      <c r="I239" t="s">
        <v>47</v>
      </c>
      <c r="J239">
        <v>1372</v>
      </c>
      <c r="K239">
        <v>3</v>
      </c>
      <c r="L239">
        <v>4116</v>
      </c>
      <c r="M239" t="s">
        <v>30</v>
      </c>
      <c r="N239" t="s">
        <v>31</v>
      </c>
      <c r="O239" t="s">
        <v>62</v>
      </c>
      <c r="P239">
        <v>5</v>
      </c>
    </row>
    <row r="240" spans="1:16" x14ac:dyDescent="0.3">
      <c r="A240" t="s">
        <v>863</v>
      </c>
      <c r="B240" t="s">
        <v>864</v>
      </c>
      <c r="C240" t="str">
        <f t="shared" si="6"/>
        <v>April</v>
      </c>
      <c r="D240">
        <f t="shared" si="7"/>
        <v>2024</v>
      </c>
      <c r="E240" t="s">
        <v>865</v>
      </c>
      <c r="F240" t="s">
        <v>741</v>
      </c>
      <c r="G240" t="s">
        <v>46</v>
      </c>
      <c r="H240" t="s">
        <v>71</v>
      </c>
      <c r="I240" t="s">
        <v>124</v>
      </c>
      <c r="J240">
        <v>866</v>
      </c>
      <c r="K240">
        <v>2</v>
      </c>
      <c r="L240">
        <v>1732</v>
      </c>
      <c r="M240" t="s">
        <v>23</v>
      </c>
      <c r="N240" t="s">
        <v>31</v>
      </c>
      <c r="O240" t="s">
        <v>25</v>
      </c>
      <c r="P240">
        <v>15</v>
      </c>
    </row>
    <row r="241" spans="1:16" x14ac:dyDescent="0.3">
      <c r="A241" t="s">
        <v>866</v>
      </c>
      <c r="B241" t="s">
        <v>867</v>
      </c>
      <c r="C241" t="str">
        <f t="shared" si="6"/>
        <v>October</v>
      </c>
      <c r="D241">
        <f t="shared" si="7"/>
        <v>2024</v>
      </c>
      <c r="E241" t="s">
        <v>868</v>
      </c>
      <c r="F241" t="s">
        <v>294</v>
      </c>
      <c r="G241" t="s">
        <v>46</v>
      </c>
      <c r="H241" t="s">
        <v>21</v>
      </c>
      <c r="I241" t="s">
        <v>22</v>
      </c>
      <c r="J241">
        <v>757</v>
      </c>
      <c r="K241">
        <v>3</v>
      </c>
      <c r="L241">
        <v>2271</v>
      </c>
      <c r="M241" t="s">
        <v>30</v>
      </c>
      <c r="N241" t="s">
        <v>24</v>
      </c>
      <c r="O241" t="s">
        <v>78</v>
      </c>
      <c r="P241">
        <v>6</v>
      </c>
    </row>
    <row r="242" spans="1:16" x14ac:dyDescent="0.3">
      <c r="A242" t="s">
        <v>869</v>
      </c>
      <c r="B242" t="s">
        <v>870</v>
      </c>
      <c r="C242" t="str">
        <f t="shared" si="6"/>
        <v>June</v>
      </c>
      <c r="D242">
        <f t="shared" si="7"/>
        <v>2025</v>
      </c>
      <c r="E242" t="s">
        <v>871</v>
      </c>
      <c r="F242" t="s">
        <v>872</v>
      </c>
      <c r="G242" t="s">
        <v>37</v>
      </c>
      <c r="H242" t="s">
        <v>21</v>
      </c>
      <c r="I242" t="s">
        <v>109</v>
      </c>
      <c r="J242">
        <v>1079</v>
      </c>
      <c r="K242">
        <v>4</v>
      </c>
      <c r="L242">
        <v>4316</v>
      </c>
      <c r="M242" t="s">
        <v>138</v>
      </c>
      <c r="N242" t="s">
        <v>40</v>
      </c>
      <c r="O242" t="s">
        <v>125</v>
      </c>
      <c r="P242">
        <v>22</v>
      </c>
    </row>
    <row r="243" spans="1:16" x14ac:dyDescent="0.3">
      <c r="A243" t="s">
        <v>873</v>
      </c>
      <c r="B243" t="s">
        <v>874</v>
      </c>
      <c r="C243" t="str">
        <f t="shared" si="6"/>
        <v>June</v>
      </c>
      <c r="D243">
        <f t="shared" si="7"/>
        <v>2024</v>
      </c>
      <c r="E243" t="s">
        <v>536</v>
      </c>
      <c r="F243" t="s">
        <v>875</v>
      </c>
      <c r="G243" t="s">
        <v>20</v>
      </c>
      <c r="H243" t="s">
        <v>38</v>
      </c>
      <c r="I243" t="s">
        <v>325</v>
      </c>
      <c r="J243">
        <v>1034</v>
      </c>
      <c r="K243">
        <v>5</v>
      </c>
      <c r="L243">
        <v>5170</v>
      </c>
      <c r="M243" t="s">
        <v>138</v>
      </c>
      <c r="N243" t="s">
        <v>48</v>
      </c>
      <c r="O243" t="s">
        <v>55</v>
      </c>
      <c r="P243">
        <v>22</v>
      </c>
    </row>
    <row r="244" spans="1:16" x14ac:dyDescent="0.3">
      <c r="A244" t="s">
        <v>876</v>
      </c>
      <c r="B244" t="s">
        <v>769</v>
      </c>
      <c r="C244" t="str">
        <f t="shared" si="6"/>
        <v>March</v>
      </c>
      <c r="D244">
        <f t="shared" si="7"/>
        <v>2025</v>
      </c>
      <c r="E244" t="s">
        <v>877</v>
      </c>
      <c r="F244" t="s">
        <v>539</v>
      </c>
      <c r="G244" t="s">
        <v>37</v>
      </c>
      <c r="H244" t="s">
        <v>71</v>
      </c>
      <c r="I244" t="s">
        <v>96</v>
      </c>
      <c r="J244">
        <v>849</v>
      </c>
      <c r="K244">
        <v>5</v>
      </c>
      <c r="L244">
        <v>4245</v>
      </c>
      <c r="M244" t="s">
        <v>61</v>
      </c>
      <c r="N244" t="s">
        <v>24</v>
      </c>
      <c r="O244" t="s">
        <v>62</v>
      </c>
      <c r="P244">
        <v>17</v>
      </c>
    </row>
    <row r="245" spans="1:16" x14ac:dyDescent="0.3">
      <c r="A245" t="s">
        <v>878</v>
      </c>
      <c r="B245" t="s">
        <v>879</v>
      </c>
      <c r="C245" t="str">
        <f t="shared" si="6"/>
        <v>October</v>
      </c>
      <c r="D245">
        <f t="shared" si="7"/>
        <v>2024</v>
      </c>
      <c r="E245" t="s">
        <v>122</v>
      </c>
      <c r="F245" t="s">
        <v>697</v>
      </c>
      <c r="G245" t="s">
        <v>37</v>
      </c>
      <c r="H245" t="s">
        <v>21</v>
      </c>
      <c r="I245" t="s">
        <v>109</v>
      </c>
      <c r="J245">
        <v>286</v>
      </c>
      <c r="K245">
        <v>2</v>
      </c>
      <c r="L245">
        <v>572</v>
      </c>
      <c r="M245" t="s">
        <v>138</v>
      </c>
      <c r="N245" t="s">
        <v>31</v>
      </c>
      <c r="O245" t="s">
        <v>25</v>
      </c>
      <c r="P245">
        <v>2</v>
      </c>
    </row>
    <row r="246" spans="1:16" x14ac:dyDescent="0.3">
      <c r="A246" t="s">
        <v>880</v>
      </c>
      <c r="B246" t="s">
        <v>454</v>
      </c>
      <c r="C246" t="str">
        <f t="shared" si="6"/>
        <v>October</v>
      </c>
      <c r="D246">
        <f t="shared" si="7"/>
        <v>2024</v>
      </c>
      <c r="E246" t="s">
        <v>881</v>
      </c>
      <c r="F246" t="s">
        <v>752</v>
      </c>
      <c r="G246" t="s">
        <v>20</v>
      </c>
      <c r="H246" t="s">
        <v>38</v>
      </c>
      <c r="I246" t="s">
        <v>39</v>
      </c>
      <c r="J246">
        <v>1319</v>
      </c>
      <c r="K246">
        <v>2</v>
      </c>
      <c r="L246">
        <v>2638</v>
      </c>
      <c r="M246" t="s">
        <v>54</v>
      </c>
      <c r="N246" t="s">
        <v>24</v>
      </c>
      <c r="O246" t="s">
        <v>84</v>
      </c>
      <c r="P246">
        <v>3</v>
      </c>
    </row>
    <row r="247" spans="1:16" x14ac:dyDescent="0.3">
      <c r="A247" t="s">
        <v>882</v>
      </c>
      <c r="B247" t="s">
        <v>883</v>
      </c>
      <c r="C247" t="str">
        <f t="shared" si="6"/>
        <v>January</v>
      </c>
      <c r="D247">
        <f t="shared" si="7"/>
        <v>2024</v>
      </c>
      <c r="E247" t="s">
        <v>747</v>
      </c>
      <c r="F247" t="s">
        <v>626</v>
      </c>
      <c r="G247" t="s">
        <v>20</v>
      </c>
      <c r="H247" t="s">
        <v>71</v>
      </c>
      <c r="I247" t="s">
        <v>124</v>
      </c>
      <c r="J247">
        <v>1001</v>
      </c>
      <c r="K247">
        <v>2</v>
      </c>
      <c r="L247">
        <v>2002</v>
      </c>
      <c r="M247" t="s">
        <v>30</v>
      </c>
      <c r="N247" t="s">
        <v>40</v>
      </c>
      <c r="O247" t="s">
        <v>32</v>
      </c>
      <c r="P247">
        <v>23</v>
      </c>
    </row>
    <row r="248" spans="1:16" x14ac:dyDescent="0.3">
      <c r="A248" t="s">
        <v>884</v>
      </c>
      <c r="B248" t="s">
        <v>885</v>
      </c>
      <c r="C248" t="str">
        <f t="shared" si="6"/>
        <v>August</v>
      </c>
      <c r="D248">
        <f t="shared" si="7"/>
        <v>2025</v>
      </c>
      <c r="E248" t="s">
        <v>886</v>
      </c>
      <c r="F248" t="s">
        <v>887</v>
      </c>
      <c r="G248" t="s">
        <v>37</v>
      </c>
      <c r="H248" t="s">
        <v>21</v>
      </c>
      <c r="I248" t="s">
        <v>77</v>
      </c>
      <c r="J248">
        <v>587</v>
      </c>
      <c r="K248">
        <v>1</v>
      </c>
      <c r="L248">
        <v>587</v>
      </c>
      <c r="M248" t="s">
        <v>138</v>
      </c>
      <c r="N248" t="s">
        <v>48</v>
      </c>
      <c r="O248" t="s">
        <v>55</v>
      </c>
      <c r="P248">
        <v>9</v>
      </c>
    </row>
    <row r="249" spans="1:16" x14ac:dyDescent="0.3">
      <c r="A249" t="s">
        <v>888</v>
      </c>
      <c r="B249" t="s">
        <v>889</v>
      </c>
      <c r="C249" t="str">
        <f t="shared" si="6"/>
        <v>October</v>
      </c>
      <c r="D249">
        <f t="shared" si="7"/>
        <v>2024</v>
      </c>
      <c r="E249" t="s">
        <v>890</v>
      </c>
      <c r="F249" t="s">
        <v>514</v>
      </c>
      <c r="G249" t="s">
        <v>46</v>
      </c>
      <c r="H249" t="s">
        <v>21</v>
      </c>
      <c r="I249" t="s">
        <v>53</v>
      </c>
      <c r="J249">
        <v>926</v>
      </c>
      <c r="K249">
        <v>2</v>
      </c>
      <c r="L249">
        <v>1852</v>
      </c>
      <c r="M249" t="s">
        <v>138</v>
      </c>
      <c r="N249" t="s">
        <v>40</v>
      </c>
      <c r="O249" t="s">
        <v>78</v>
      </c>
      <c r="P249">
        <v>0</v>
      </c>
    </row>
    <row r="250" spans="1:16" x14ac:dyDescent="0.3">
      <c r="A250" t="s">
        <v>891</v>
      </c>
      <c r="B250" t="s">
        <v>545</v>
      </c>
      <c r="C250" t="str">
        <f t="shared" si="6"/>
        <v>May</v>
      </c>
      <c r="D250">
        <f t="shared" si="7"/>
        <v>2025</v>
      </c>
      <c r="E250" t="s">
        <v>892</v>
      </c>
      <c r="F250" t="s">
        <v>608</v>
      </c>
      <c r="G250" t="s">
        <v>46</v>
      </c>
      <c r="H250" t="s">
        <v>38</v>
      </c>
      <c r="I250" t="s">
        <v>47</v>
      </c>
      <c r="J250">
        <v>1319</v>
      </c>
      <c r="K250">
        <v>2</v>
      </c>
      <c r="L250">
        <v>2638</v>
      </c>
      <c r="M250" t="s">
        <v>54</v>
      </c>
      <c r="N250" t="s">
        <v>48</v>
      </c>
      <c r="O250" t="s">
        <v>25</v>
      </c>
      <c r="P250">
        <v>18</v>
      </c>
    </row>
    <row r="251" spans="1:16" x14ac:dyDescent="0.3">
      <c r="A251" t="s">
        <v>893</v>
      </c>
      <c r="B251" t="s">
        <v>894</v>
      </c>
      <c r="C251" t="str">
        <f t="shared" si="6"/>
        <v>January</v>
      </c>
      <c r="D251">
        <f t="shared" si="7"/>
        <v>2025</v>
      </c>
      <c r="E251" t="s">
        <v>895</v>
      </c>
      <c r="F251" t="s">
        <v>896</v>
      </c>
      <c r="G251" t="s">
        <v>20</v>
      </c>
      <c r="H251" t="s">
        <v>71</v>
      </c>
      <c r="I251" t="s">
        <v>96</v>
      </c>
      <c r="J251">
        <v>606</v>
      </c>
      <c r="K251">
        <v>3</v>
      </c>
      <c r="L251">
        <v>1818</v>
      </c>
      <c r="M251" t="s">
        <v>138</v>
      </c>
      <c r="N251" t="s">
        <v>40</v>
      </c>
      <c r="O251" t="s">
        <v>84</v>
      </c>
      <c r="P251">
        <v>26</v>
      </c>
    </row>
    <row r="252" spans="1:16" x14ac:dyDescent="0.3">
      <c r="A252" t="s">
        <v>897</v>
      </c>
      <c r="B252" t="s">
        <v>898</v>
      </c>
      <c r="C252" t="str">
        <f t="shared" si="6"/>
        <v>August</v>
      </c>
      <c r="D252">
        <f t="shared" si="7"/>
        <v>2025</v>
      </c>
      <c r="E252" t="s">
        <v>899</v>
      </c>
      <c r="F252" t="s">
        <v>900</v>
      </c>
      <c r="G252" t="s">
        <v>46</v>
      </c>
      <c r="H252" t="s">
        <v>38</v>
      </c>
      <c r="I252" t="s">
        <v>130</v>
      </c>
      <c r="J252">
        <v>319</v>
      </c>
      <c r="K252">
        <v>3</v>
      </c>
      <c r="L252">
        <v>957</v>
      </c>
      <c r="M252" t="s">
        <v>54</v>
      </c>
      <c r="N252" t="s">
        <v>24</v>
      </c>
      <c r="O252" t="s">
        <v>78</v>
      </c>
      <c r="P252">
        <v>28</v>
      </c>
    </row>
    <row r="253" spans="1:16" x14ac:dyDescent="0.3">
      <c r="A253" t="s">
        <v>901</v>
      </c>
      <c r="B253" t="s">
        <v>902</v>
      </c>
      <c r="C253" t="str">
        <f t="shared" si="6"/>
        <v>August</v>
      </c>
      <c r="D253">
        <f t="shared" si="7"/>
        <v>2024</v>
      </c>
      <c r="E253" t="s">
        <v>903</v>
      </c>
      <c r="F253" t="s">
        <v>399</v>
      </c>
      <c r="G253" t="s">
        <v>20</v>
      </c>
      <c r="H253" t="s">
        <v>21</v>
      </c>
      <c r="I253" t="s">
        <v>53</v>
      </c>
      <c r="J253">
        <v>1363</v>
      </c>
      <c r="K253">
        <v>3</v>
      </c>
      <c r="L253">
        <v>4089</v>
      </c>
      <c r="M253" t="s">
        <v>23</v>
      </c>
      <c r="N253" t="s">
        <v>40</v>
      </c>
      <c r="O253" t="s">
        <v>125</v>
      </c>
      <c r="P253">
        <v>8</v>
      </c>
    </row>
    <row r="254" spans="1:16" x14ac:dyDescent="0.3">
      <c r="A254" t="s">
        <v>904</v>
      </c>
      <c r="B254" t="s">
        <v>905</v>
      </c>
      <c r="C254" t="str">
        <f t="shared" si="6"/>
        <v>September</v>
      </c>
      <c r="D254">
        <f t="shared" si="7"/>
        <v>2024</v>
      </c>
      <c r="E254" t="s">
        <v>906</v>
      </c>
      <c r="F254" t="s">
        <v>907</v>
      </c>
      <c r="G254" t="s">
        <v>20</v>
      </c>
      <c r="H254" t="s">
        <v>71</v>
      </c>
      <c r="I254" t="s">
        <v>119</v>
      </c>
      <c r="J254">
        <v>893</v>
      </c>
      <c r="K254">
        <v>4</v>
      </c>
      <c r="L254">
        <v>3572</v>
      </c>
      <c r="M254" t="s">
        <v>23</v>
      </c>
      <c r="N254" t="s">
        <v>31</v>
      </c>
      <c r="O254" t="s">
        <v>41</v>
      </c>
      <c r="P254">
        <v>14</v>
      </c>
    </row>
    <row r="255" spans="1:16" x14ac:dyDescent="0.3">
      <c r="A255" t="s">
        <v>908</v>
      </c>
      <c r="B255" t="s">
        <v>909</v>
      </c>
      <c r="C255" t="str">
        <f t="shared" si="6"/>
        <v>December</v>
      </c>
      <c r="D255">
        <f t="shared" si="7"/>
        <v>2024</v>
      </c>
      <c r="E255" t="s">
        <v>910</v>
      </c>
      <c r="F255" t="s">
        <v>911</v>
      </c>
      <c r="G255" t="s">
        <v>20</v>
      </c>
      <c r="H255" t="s">
        <v>21</v>
      </c>
      <c r="I255" t="s">
        <v>114</v>
      </c>
      <c r="J255">
        <v>1336</v>
      </c>
      <c r="K255">
        <v>3</v>
      </c>
      <c r="L255">
        <v>4008</v>
      </c>
      <c r="M255" t="s">
        <v>61</v>
      </c>
      <c r="N255" t="s">
        <v>24</v>
      </c>
      <c r="O255" t="s">
        <v>78</v>
      </c>
      <c r="P255">
        <v>7</v>
      </c>
    </row>
    <row r="256" spans="1:16" x14ac:dyDescent="0.3">
      <c r="A256" t="s">
        <v>912</v>
      </c>
      <c r="B256" t="s">
        <v>721</v>
      </c>
      <c r="C256" t="str">
        <f t="shared" si="6"/>
        <v>September</v>
      </c>
      <c r="D256">
        <f t="shared" si="7"/>
        <v>2024</v>
      </c>
      <c r="E256" t="s">
        <v>824</v>
      </c>
      <c r="F256" t="s">
        <v>913</v>
      </c>
      <c r="G256" t="s">
        <v>46</v>
      </c>
      <c r="H256" t="s">
        <v>38</v>
      </c>
      <c r="I256" t="s">
        <v>47</v>
      </c>
      <c r="J256">
        <v>684</v>
      </c>
      <c r="K256">
        <v>2</v>
      </c>
      <c r="L256">
        <v>1368</v>
      </c>
      <c r="M256" t="s">
        <v>54</v>
      </c>
      <c r="N256" t="s">
        <v>48</v>
      </c>
      <c r="O256" t="s">
        <v>125</v>
      </c>
      <c r="P256">
        <v>29</v>
      </c>
    </row>
    <row r="257" spans="1:16" x14ac:dyDescent="0.3">
      <c r="A257" t="s">
        <v>914</v>
      </c>
      <c r="B257" t="s">
        <v>915</v>
      </c>
      <c r="C257" t="str">
        <f t="shared" si="6"/>
        <v>October</v>
      </c>
      <c r="D257">
        <f t="shared" si="7"/>
        <v>2024</v>
      </c>
      <c r="E257" t="s">
        <v>916</v>
      </c>
      <c r="F257" t="s">
        <v>643</v>
      </c>
      <c r="G257" t="s">
        <v>46</v>
      </c>
      <c r="H257" t="s">
        <v>38</v>
      </c>
      <c r="I257" t="s">
        <v>325</v>
      </c>
      <c r="J257">
        <v>932</v>
      </c>
      <c r="K257">
        <v>4</v>
      </c>
      <c r="L257">
        <v>3728</v>
      </c>
      <c r="M257" t="s">
        <v>61</v>
      </c>
      <c r="N257" t="s">
        <v>40</v>
      </c>
      <c r="O257" t="s">
        <v>84</v>
      </c>
      <c r="P257">
        <v>11</v>
      </c>
    </row>
    <row r="258" spans="1:16" x14ac:dyDescent="0.3">
      <c r="A258" t="s">
        <v>917</v>
      </c>
      <c r="B258" t="s">
        <v>148</v>
      </c>
      <c r="C258" t="str">
        <f t="shared" si="6"/>
        <v>December</v>
      </c>
      <c r="D258">
        <f t="shared" si="7"/>
        <v>2024</v>
      </c>
      <c r="E258" t="s">
        <v>675</v>
      </c>
      <c r="F258" t="s">
        <v>539</v>
      </c>
      <c r="G258" t="s">
        <v>20</v>
      </c>
      <c r="H258" t="s">
        <v>38</v>
      </c>
      <c r="I258" t="s">
        <v>39</v>
      </c>
      <c r="J258">
        <v>1051</v>
      </c>
      <c r="K258">
        <v>5</v>
      </c>
      <c r="L258">
        <v>5255</v>
      </c>
      <c r="M258" t="s">
        <v>61</v>
      </c>
      <c r="N258" t="s">
        <v>40</v>
      </c>
      <c r="O258" t="s">
        <v>32</v>
      </c>
      <c r="P258">
        <v>23</v>
      </c>
    </row>
    <row r="259" spans="1:16" x14ac:dyDescent="0.3">
      <c r="A259" t="s">
        <v>918</v>
      </c>
      <c r="B259" t="s">
        <v>797</v>
      </c>
      <c r="C259" t="str">
        <f t="shared" ref="C259:C322" si="8">TEXT(B259,"MMMM")</f>
        <v>September</v>
      </c>
      <c r="D259">
        <f t="shared" ref="D259:D322" si="9">YEAR(B259)</f>
        <v>2024</v>
      </c>
      <c r="E259" t="s">
        <v>536</v>
      </c>
      <c r="F259" t="s">
        <v>919</v>
      </c>
      <c r="G259" t="s">
        <v>46</v>
      </c>
      <c r="H259" t="s">
        <v>21</v>
      </c>
      <c r="I259" t="s">
        <v>109</v>
      </c>
      <c r="J259">
        <v>285</v>
      </c>
      <c r="K259">
        <v>1</v>
      </c>
      <c r="L259">
        <v>285</v>
      </c>
      <c r="M259" t="s">
        <v>138</v>
      </c>
      <c r="N259" t="s">
        <v>48</v>
      </c>
      <c r="O259" t="s">
        <v>25</v>
      </c>
      <c r="P259">
        <v>30</v>
      </c>
    </row>
    <row r="260" spans="1:16" x14ac:dyDescent="0.3">
      <c r="A260" t="s">
        <v>920</v>
      </c>
      <c r="B260" t="s">
        <v>921</v>
      </c>
      <c r="C260" t="str">
        <f t="shared" si="8"/>
        <v>February</v>
      </c>
      <c r="D260">
        <f t="shared" si="9"/>
        <v>2025</v>
      </c>
      <c r="E260" t="s">
        <v>922</v>
      </c>
      <c r="F260" t="s">
        <v>923</v>
      </c>
      <c r="G260" t="s">
        <v>20</v>
      </c>
      <c r="H260" t="s">
        <v>38</v>
      </c>
      <c r="I260" t="s">
        <v>130</v>
      </c>
      <c r="J260">
        <v>1149</v>
      </c>
      <c r="K260">
        <v>5</v>
      </c>
      <c r="L260">
        <v>5745</v>
      </c>
      <c r="M260" t="s">
        <v>23</v>
      </c>
      <c r="N260" t="s">
        <v>48</v>
      </c>
      <c r="O260" t="s">
        <v>32</v>
      </c>
      <c r="P260">
        <v>25</v>
      </c>
    </row>
    <row r="261" spans="1:16" x14ac:dyDescent="0.3">
      <c r="A261" t="s">
        <v>924</v>
      </c>
      <c r="B261" t="s">
        <v>925</v>
      </c>
      <c r="C261" t="str">
        <f t="shared" si="8"/>
        <v>April</v>
      </c>
      <c r="D261">
        <f t="shared" si="9"/>
        <v>2024</v>
      </c>
      <c r="E261" t="s">
        <v>926</v>
      </c>
      <c r="F261" t="s">
        <v>244</v>
      </c>
      <c r="G261" t="s">
        <v>46</v>
      </c>
      <c r="H261" t="s">
        <v>71</v>
      </c>
      <c r="I261" t="s">
        <v>83</v>
      </c>
      <c r="J261">
        <v>1181</v>
      </c>
      <c r="K261">
        <v>2</v>
      </c>
      <c r="L261">
        <v>2362</v>
      </c>
      <c r="M261" t="s">
        <v>138</v>
      </c>
      <c r="N261" t="s">
        <v>40</v>
      </c>
      <c r="O261" t="s">
        <v>41</v>
      </c>
      <c r="P261">
        <v>10</v>
      </c>
    </row>
    <row r="262" spans="1:16" x14ac:dyDescent="0.3">
      <c r="A262" t="s">
        <v>927</v>
      </c>
      <c r="B262" t="s">
        <v>928</v>
      </c>
      <c r="C262" t="str">
        <f t="shared" si="8"/>
        <v>May</v>
      </c>
      <c r="D262">
        <f t="shared" si="9"/>
        <v>2024</v>
      </c>
      <c r="E262" t="s">
        <v>929</v>
      </c>
      <c r="F262" t="s">
        <v>930</v>
      </c>
      <c r="G262" t="s">
        <v>20</v>
      </c>
      <c r="H262" t="s">
        <v>71</v>
      </c>
      <c r="I262" t="s">
        <v>124</v>
      </c>
      <c r="J262">
        <v>1025</v>
      </c>
      <c r="K262">
        <v>4</v>
      </c>
      <c r="L262">
        <v>4100</v>
      </c>
      <c r="M262" t="s">
        <v>23</v>
      </c>
      <c r="N262" t="s">
        <v>24</v>
      </c>
      <c r="O262" t="s">
        <v>32</v>
      </c>
      <c r="P262">
        <v>7</v>
      </c>
    </row>
    <row r="263" spans="1:16" x14ac:dyDescent="0.3">
      <c r="A263" t="s">
        <v>931</v>
      </c>
      <c r="B263" t="s">
        <v>411</v>
      </c>
      <c r="C263" t="str">
        <f t="shared" si="8"/>
        <v>March</v>
      </c>
      <c r="D263">
        <f t="shared" si="9"/>
        <v>2025</v>
      </c>
      <c r="E263" t="s">
        <v>357</v>
      </c>
      <c r="F263" t="s">
        <v>294</v>
      </c>
      <c r="G263" t="s">
        <v>37</v>
      </c>
      <c r="H263" t="s">
        <v>21</v>
      </c>
      <c r="I263" t="s">
        <v>114</v>
      </c>
      <c r="J263">
        <v>1087</v>
      </c>
      <c r="K263">
        <v>5</v>
      </c>
      <c r="L263">
        <v>5435</v>
      </c>
      <c r="M263" t="s">
        <v>23</v>
      </c>
      <c r="N263" t="s">
        <v>24</v>
      </c>
      <c r="O263" t="s">
        <v>84</v>
      </c>
      <c r="P263">
        <v>13</v>
      </c>
    </row>
    <row r="264" spans="1:16" x14ac:dyDescent="0.3">
      <c r="A264" t="s">
        <v>932</v>
      </c>
      <c r="B264" t="s">
        <v>933</v>
      </c>
      <c r="C264" t="str">
        <f t="shared" si="8"/>
        <v>May</v>
      </c>
      <c r="D264">
        <f t="shared" si="9"/>
        <v>2024</v>
      </c>
      <c r="E264" t="s">
        <v>934</v>
      </c>
      <c r="F264" t="s">
        <v>741</v>
      </c>
      <c r="G264" t="s">
        <v>20</v>
      </c>
      <c r="H264" t="s">
        <v>38</v>
      </c>
      <c r="I264" t="s">
        <v>325</v>
      </c>
      <c r="J264">
        <v>1264</v>
      </c>
      <c r="K264">
        <v>4</v>
      </c>
      <c r="L264">
        <v>5056</v>
      </c>
      <c r="M264" t="s">
        <v>138</v>
      </c>
      <c r="N264" t="s">
        <v>48</v>
      </c>
      <c r="O264" t="s">
        <v>41</v>
      </c>
      <c r="P264">
        <v>25</v>
      </c>
    </row>
    <row r="265" spans="1:16" x14ac:dyDescent="0.3">
      <c r="A265" t="s">
        <v>935</v>
      </c>
      <c r="B265" t="s">
        <v>498</v>
      </c>
      <c r="C265" t="str">
        <f t="shared" si="8"/>
        <v>July</v>
      </c>
      <c r="D265">
        <f t="shared" si="9"/>
        <v>2025</v>
      </c>
      <c r="E265" t="s">
        <v>936</v>
      </c>
      <c r="F265" t="s">
        <v>937</v>
      </c>
      <c r="G265" t="s">
        <v>20</v>
      </c>
      <c r="H265" t="s">
        <v>21</v>
      </c>
      <c r="I265" t="s">
        <v>114</v>
      </c>
      <c r="J265">
        <v>1447</v>
      </c>
      <c r="K265">
        <v>3</v>
      </c>
      <c r="L265">
        <v>4341</v>
      </c>
      <c r="M265" t="s">
        <v>61</v>
      </c>
      <c r="N265" t="s">
        <v>40</v>
      </c>
      <c r="O265" t="s">
        <v>25</v>
      </c>
      <c r="P265">
        <v>30</v>
      </c>
    </row>
    <row r="266" spans="1:16" x14ac:dyDescent="0.3">
      <c r="A266" t="s">
        <v>938</v>
      </c>
      <c r="B266" t="s">
        <v>939</v>
      </c>
      <c r="C266" t="str">
        <f t="shared" si="8"/>
        <v>January</v>
      </c>
      <c r="D266">
        <f t="shared" si="9"/>
        <v>2024</v>
      </c>
      <c r="E266" t="s">
        <v>940</v>
      </c>
      <c r="F266" t="s">
        <v>146</v>
      </c>
      <c r="G266" t="s">
        <v>20</v>
      </c>
      <c r="H266" t="s">
        <v>71</v>
      </c>
      <c r="I266" t="s">
        <v>96</v>
      </c>
      <c r="J266">
        <v>796</v>
      </c>
      <c r="K266">
        <v>2</v>
      </c>
      <c r="L266">
        <v>1592</v>
      </c>
      <c r="M266" t="s">
        <v>30</v>
      </c>
      <c r="N266" t="s">
        <v>24</v>
      </c>
      <c r="O266" t="s">
        <v>25</v>
      </c>
      <c r="P266">
        <v>3</v>
      </c>
    </row>
    <row r="267" spans="1:16" x14ac:dyDescent="0.3">
      <c r="A267" t="s">
        <v>941</v>
      </c>
      <c r="B267" t="s">
        <v>556</v>
      </c>
      <c r="C267" t="str">
        <f t="shared" si="8"/>
        <v>February</v>
      </c>
      <c r="D267">
        <f t="shared" si="9"/>
        <v>2024</v>
      </c>
      <c r="E267" t="s">
        <v>942</v>
      </c>
      <c r="F267" t="s">
        <v>943</v>
      </c>
      <c r="G267" t="s">
        <v>46</v>
      </c>
      <c r="H267" t="s">
        <v>71</v>
      </c>
      <c r="I267" t="s">
        <v>83</v>
      </c>
      <c r="J267">
        <v>1407</v>
      </c>
      <c r="K267">
        <v>2</v>
      </c>
      <c r="L267">
        <v>2814</v>
      </c>
      <c r="M267" t="s">
        <v>61</v>
      </c>
      <c r="N267" t="s">
        <v>40</v>
      </c>
      <c r="O267" t="s">
        <v>32</v>
      </c>
      <c r="P267">
        <v>23</v>
      </c>
    </row>
    <row r="268" spans="1:16" x14ac:dyDescent="0.3">
      <c r="A268" t="s">
        <v>944</v>
      </c>
      <c r="B268" t="s">
        <v>945</v>
      </c>
      <c r="C268" t="str">
        <f t="shared" si="8"/>
        <v>January</v>
      </c>
      <c r="D268">
        <f t="shared" si="9"/>
        <v>2025</v>
      </c>
      <c r="E268" t="s">
        <v>91</v>
      </c>
      <c r="F268" t="s">
        <v>946</v>
      </c>
      <c r="G268" t="s">
        <v>46</v>
      </c>
      <c r="H268" t="s">
        <v>38</v>
      </c>
      <c r="I268" t="s">
        <v>130</v>
      </c>
      <c r="J268">
        <v>950</v>
      </c>
      <c r="K268">
        <v>3</v>
      </c>
      <c r="L268">
        <v>2850</v>
      </c>
      <c r="M268" t="s">
        <v>61</v>
      </c>
      <c r="N268" t="s">
        <v>40</v>
      </c>
      <c r="O268" t="s">
        <v>78</v>
      </c>
      <c r="P268">
        <v>17</v>
      </c>
    </row>
    <row r="269" spans="1:16" x14ac:dyDescent="0.3">
      <c r="A269" t="s">
        <v>947</v>
      </c>
      <c r="B269" t="s">
        <v>948</v>
      </c>
      <c r="C269" t="str">
        <f t="shared" si="8"/>
        <v>March</v>
      </c>
      <c r="D269">
        <f t="shared" si="9"/>
        <v>2025</v>
      </c>
      <c r="E269" t="s">
        <v>949</v>
      </c>
      <c r="F269" t="s">
        <v>697</v>
      </c>
      <c r="G269" t="s">
        <v>37</v>
      </c>
      <c r="H269" t="s">
        <v>21</v>
      </c>
      <c r="I269" t="s">
        <v>109</v>
      </c>
      <c r="J269">
        <v>852</v>
      </c>
      <c r="K269">
        <v>5</v>
      </c>
      <c r="L269">
        <v>4260</v>
      </c>
      <c r="M269" t="s">
        <v>61</v>
      </c>
      <c r="N269" t="s">
        <v>31</v>
      </c>
      <c r="O269" t="s">
        <v>41</v>
      </c>
      <c r="P269">
        <v>22</v>
      </c>
    </row>
    <row r="270" spans="1:16" x14ac:dyDescent="0.3">
      <c r="A270" t="s">
        <v>950</v>
      </c>
      <c r="B270" t="s">
        <v>288</v>
      </c>
      <c r="C270" t="str">
        <f t="shared" si="8"/>
        <v>September</v>
      </c>
      <c r="D270">
        <f t="shared" si="9"/>
        <v>2024</v>
      </c>
      <c r="E270" t="s">
        <v>951</v>
      </c>
      <c r="F270" t="s">
        <v>952</v>
      </c>
      <c r="G270" t="s">
        <v>46</v>
      </c>
      <c r="H270" t="s">
        <v>38</v>
      </c>
      <c r="I270" t="s">
        <v>60</v>
      </c>
      <c r="J270">
        <v>918</v>
      </c>
      <c r="K270">
        <v>2</v>
      </c>
      <c r="L270">
        <v>1836</v>
      </c>
      <c r="M270" t="s">
        <v>23</v>
      </c>
      <c r="N270" t="s">
        <v>24</v>
      </c>
      <c r="O270" t="s">
        <v>84</v>
      </c>
      <c r="P270">
        <v>10</v>
      </c>
    </row>
    <row r="271" spans="1:16" x14ac:dyDescent="0.3">
      <c r="A271" t="s">
        <v>953</v>
      </c>
      <c r="B271" t="s">
        <v>363</v>
      </c>
      <c r="C271" t="str">
        <f t="shared" si="8"/>
        <v>January</v>
      </c>
      <c r="D271">
        <f t="shared" si="9"/>
        <v>2025</v>
      </c>
      <c r="E271" t="s">
        <v>954</v>
      </c>
      <c r="F271" t="s">
        <v>955</v>
      </c>
      <c r="G271" t="s">
        <v>20</v>
      </c>
      <c r="H271" t="s">
        <v>38</v>
      </c>
      <c r="I271" t="s">
        <v>325</v>
      </c>
      <c r="J271">
        <v>739</v>
      </c>
      <c r="K271">
        <v>5</v>
      </c>
      <c r="L271">
        <v>3695</v>
      </c>
      <c r="M271" t="s">
        <v>23</v>
      </c>
      <c r="N271" t="s">
        <v>24</v>
      </c>
      <c r="O271" t="s">
        <v>62</v>
      </c>
      <c r="P271">
        <v>15</v>
      </c>
    </row>
    <row r="272" spans="1:16" x14ac:dyDescent="0.3">
      <c r="A272" t="s">
        <v>956</v>
      </c>
      <c r="B272" t="s">
        <v>957</v>
      </c>
      <c r="C272" t="str">
        <f t="shared" si="8"/>
        <v>August</v>
      </c>
      <c r="D272">
        <f t="shared" si="9"/>
        <v>2024</v>
      </c>
      <c r="E272" t="s">
        <v>839</v>
      </c>
      <c r="F272" t="s">
        <v>275</v>
      </c>
      <c r="G272" t="s">
        <v>37</v>
      </c>
      <c r="H272" t="s">
        <v>38</v>
      </c>
      <c r="I272" t="s">
        <v>39</v>
      </c>
      <c r="J272">
        <v>1368</v>
      </c>
      <c r="K272">
        <v>3</v>
      </c>
      <c r="L272">
        <v>4104</v>
      </c>
      <c r="M272" t="s">
        <v>54</v>
      </c>
      <c r="N272" t="s">
        <v>40</v>
      </c>
      <c r="O272" t="s">
        <v>25</v>
      </c>
      <c r="P272">
        <v>5</v>
      </c>
    </row>
    <row r="273" spans="1:16" x14ac:dyDescent="0.3">
      <c r="A273" t="s">
        <v>958</v>
      </c>
      <c r="B273" t="s">
        <v>789</v>
      </c>
      <c r="C273" t="str">
        <f t="shared" si="8"/>
        <v>May</v>
      </c>
      <c r="D273">
        <f t="shared" si="9"/>
        <v>2025</v>
      </c>
      <c r="E273" t="s">
        <v>704</v>
      </c>
      <c r="F273" t="s">
        <v>380</v>
      </c>
      <c r="G273" t="s">
        <v>20</v>
      </c>
      <c r="H273" t="s">
        <v>21</v>
      </c>
      <c r="I273" t="s">
        <v>22</v>
      </c>
      <c r="J273">
        <v>565</v>
      </c>
      <c r="K273">
        <v>2</v>
      </c>
      <c r="L273">
        <v>1130</v>
      </c>
      <c r="M273" t="s">
        <v>30</v>
      </c>
      <c r="N273" t="s">
        <v>24</v>
      </c>
      <c r="O273" t="s">
        <v>55</v>
      </c>
      <c r="P273">
        <v>23</v>
      </c>
    </row>
    <row r="274" spans="1:16" x14ac:dyDescent="0.3">
      <c r="A274" t="s">
        <v>959</v>
      </c>
      <c r="B274" t="s">
        <v>960</v>
      </c>
      <c r="C274" t="str">
        <f t="shared" si="8"/>
        <v>November</v>
      </c>
      <c r="D274">
        <f t="shared" si="9"/>
        <v>2024</v>
      </c>
      <c r="E274" t="s">
        <v>961</v>
      </c>
      <c r="F274" t="s">
        <v>962</v>
      </c>
      <c r="G274" t="s">
        <v>46</v>
      </c>
      <c r="H274" t="s">
        <v>21</v>
      </c>
      <c r="I274" t="s">
        <v>22</v>
      </c>
      <c r="J274">
        <v>904</v>
      </c>
      <c r="K274">
        <v>1</v>
      </c>
      <c r="L274">
        <v>904</v>
      </c>
      <c r="M274" t="s">
        <v>30</v>
      </c>
      <c r="N274" t="s">
        <v>48</v>
      </c>
      <c r="O274" t="s">
        <v>32</v>
      </c>
      <c r="P274">
        <v>4</v>
      </c>
    </row>
    <row r="275" spans="1:16" x14ac:dyDescent="0.3">
      <c r="A275" t="s">
        <v>963</v>
      </c>
      <c r="B275" t="s">
        <v>964</v>
      </c>
      <c r="C275" t="str">
        <f t="shared" si="8"/>
        <v>July</v>
      </c>
      <c r="D275">
        <f t="shared" si="9"/>
        <v>2025</v>
      </c>
      <c r="E275" t="s">
        <v>965</v>
      </c>
      <c r="F275" t="s">
        <v>966</v>
      </c>
      <c r="G275" t="s">
        <v>20</v>
      </c>
      <c r="H275" t="s">
        <v>21</v>
      </c>
      <c r="I275" t="s">
        <v>109</v>
      </c>
      <c r="J275">
        <v>392</v>
      </c>
      <c r="K275">
        <v>3</v>
      </c>
      <c r="L275">
        <v>1176</v>
      </c>
      <c r="M275" t="s">
        <v>30</v>
      </c>
      <c r="N275" t="s">
        <v>24</v>
      </c>
      <c r="O275" t="s">
        <v>84</v>
      </c>
      <c r="P275">
        <v>22</v>
      </c>
    </row>
    <row r="276" spans="1:16" x14ac:dyDescent="0.3">
      <c r="A276" t="s">
        <v>967</v>
      </c>
      <c r="B276" t="s">
        <v>331</v>
      </c>
      <c r="C276" t="str">
        <f t="shared" si="8"/>
        <v>December</v>
      </c>
      <c r="D276">
        <f t="shared" si="9"/>
        <v>2024</v>
      </c>
      <c r="E276" t="s">
        <v>387</v>
      </c>
      <c r="F276" t="s">
        <v>787</v>
      </c>
      <c r="G276" t="s">
        <v>46</v>
      </c>
      <c r="H276" t="s">
        <v>21</v>
      </c>
      <c r="I276" t="s">
        <v>114</v>
      </c>
      <c r="J276">
        <v>1183</v>
      </c>
      <c r="K276">
        <v>3</v>
      </c>
      <c r="L276">
        <v>3549</v>
      </c>
      <c r="M276" t="s">
        <v>54</v>
      </c>
      <c r="N276" t="s">
        <v>24</v>
      </c>
      <c r="O276" t="s">
        <v>55</v>
      </c>
      <c r="P276">
        <v>29</v>
      </c>
    </row>
    <row r="277" spans="1:16" x14ac:dyDescent="0.3">
      <c r="A277" t="s">
        <v>968</v>
      </c>
      <c r="B277" t="s">
        <v>969</v>
      </c>
      <c r="C277" t="str">
        <f t="shared" si="8"/>
        <v>March</v>
      </c>
      <c r="D277">
        <f t="shared" si="9"/>
        <v>2024</v>
      </c>
      <c r="E277" t="s">
        <v>481</v>
      </c>
      <c r="F277" t="s">
        <v>238</v>
      </c>
      <c r="G277" t="s">
        <v>20</v>
      </c>
      <c r="H277" t="s">
        <v>71</v>
      </c>
      <c r="I277" t="s">
        <v>72</v>
      </c>
      <c r="J277">
        <v>410</v>
      </c>
      <c r="K277">
        <v>2</v>
      </c>
      <c r="L277">
        <v>820</v>
      </c>
      <c r="M277" t="s">
        <v>138</v>
      </c>
      <c r="N277" t="s">
        <v>40</v>
      </c>
      <c r="O277" t="s">
        <v>62</v>
      </c>
      <c r="P277">
        <v>19</v>
      </c>
    </row>
    <row r="278" spans="1:16" x14ac:dyDescent="0.3">
      <c r="A278" t="s">
        <v>970</v>
      </c>
      <c r="B278" t="s">
        <v>971</v>
      </c>
      <c r="C278" t="str">
        <f t="shared" si="8"/>
        <v>July</v>
      </c>
      <c r="D278">
        <f t="shared" si="9"/>
        <v>2025</v>
      </c>
      <c r="E278" t="s">
        <v>346</v>
      </c>
      <c r="F278" t="s">
        <v>643</v>
      </c>
      <c r="G278" t="s">
        <v>46</v>
      </c>
      <c r="H278" t="s">
        <v>71</v>
      </c>
      <c r="I278" t="s">
        <v>124</v>
      </c>
      <c r="J278">
        <v>1496</v>
      </c>
      <c r="K278">
        <v>3</v>
      </c>
      <c r="L278">
        <v>4488</v>
      </c>
      <c r="M278" t="s">
        <v>30</v>
      </c>
      <c r="N278" t="s">
        <v>31</v>
      </c>
      <c r="O278" t="s">
        <v>25</v>
      </c>
      <c r="P278">
        <v>19</v>
      </c>
    </row>
    <row r="279" spans="1:16" x14ac:dyDescent="0.3">
      <c r="A279" t="s">
        <v>972</v>
      </c>
      <c r="B279" t="s">
        <v>973</v>
      </c>
      <c r="C279" t="str">
        <f t="shared" si="8"/>
        <v>April</v>
      </c>
      <c r="D279">
        <f t="shared" si="9"/>
        <v>2025</v>
      </c>
      <c r="E279" t="s">
        <v>974</v>
      </c>
      <c r="F279" t="s">
        <v>975</v>
      </c>
      <c r="G279" t="s">
        <v>37</v>
      </c>
      <c r="H279" t="s">
        <v>71</v>
      </c>
      <c r="I279" t="s">
        <v>124</v>
      </c>
      <c r="J279">
        <v>317</v>
      </c>
      <c r="K279">
        <v>2</v>
      </c>
      <c r="L279">
        <v>634</v>
      </c>
      <c r="M279" t="s">
        <v>54</v>
      </c>
      <c r="N279" t="s">
        <v>24</v>
      </c>
      <c r="O279" t="s">
        <v>55</v>
      </c>
      <c r="P279">
        <v>15</v>
      </c>
    </row>
    <row r="280" spans="1:16" x14ac:dyDescent="0.3">
      <c r="A280" t="s">
        <v>976</v>
      </c>
      <c r="B280" t="s">
        <v>341</v>
      </c>
      <c r="C280" t="str">
        <f t="shared" si="8"/>
        <v>August</v>
      </c>
      <c r="D280">
        <f t="shared" si="9"/>
        <v>2024</v>
      </c>
      <c r="E280" t="s">
        <v>153</v>
      </c>
      <c r="F280" t="s">
        <v>977</v>
      </c>
      <c r="G280" t="s">
        <v>37</v>
      </c>
      <c r="H280" t="s">
        <v>38</v>
      </c>
      <c r="I280" t="s">
        <v>39</v>
      </c>
      <c r="J280">
        <v>1336</v>
      </c>
      <c r="K280">
        <v>5</v>
      </c>
      <c r="L280">
        <v>6680</v>
      </c>
      <c r="M280" t="s">
        <v>61</v>
      </c>
      <c r="N280" t="s">
        <v>31</v>
      </c>
      <c r="O280" t="s">
        <v>78</v>
      </c>
      <c r="P280">
        <v>25</v>
      </c>
    </row>
    <row r="281" spans="1:16" x14ac:dyDescent="0.3">
      <c r="A281" t="s">
        <v>978</v>
      </c>
      <c r="B281" t="s">
        <v>979</v>
      </c>
      <c r="C281" t="str">
        <f t="shared" si="8"/>
        <v>July</v>
      </c>
      <c r="D281">
        <f t="shared" si="9"/>
        <v>2024</v>
      </c>
      <c r="E281" t="s">
        <v>980</v>
      </c>
      <c r="F281" t="s">
        <v>118</v>
      </c>
      <c r="G281" t="s">
        <v>20</v>
      </c>
      <c r="H281" t="s">
        <v>21</v>
      </c>
      <c r="I281" t="s">
        <v>77</v>
      </c>
      <c r="J281">
        <v>1028</v>
      </c>
      <c r="K281">
        <v>5</v>
      </c>
      <c r="L281">
        <v>5140</v>
      </c>
      <c r="M281" t="s">
        <v>23</v>
      </c>
      <c r="N281" t="s">
        <v>48</v>
      </c>
      <c r="O281" t="s">
        <v>78</v>
      </c>
      <c r="P281">
        <v>12</v>
      </c>
    </row>
    <row r="282" spans="1:16" x14ac:dyDescent="0.3">
      <c r="A282" t="s">
        <v>981</v>
      </c>
      <c r="B282" t="s">
        <v>982</v>
      </c>
      <c r="C282" t="str">
        <f t="shared" si="8"/>
        <v>April</v>
      </c>
      <c r="D282">
        <f t="shared" si="9"/>
        <v>2025</v>
      </c>
      <c r="E282" t="s">
        <v>922</v>
      </c>
      <c r="F282" t="s">
        <v>730</v>
      </c>
      <c r="G282" t="s">
        <v>37</v>
      </c>
      <c r="H282" t="s">
        <v>38</v>
      </c>
      <c r="I282" t="s">
        <v>60</v>
      </c>
      <c r="J282">
        <v>700</v>
      </c>
      <c r="K282">
        <v>4</v>
      </c>
      <c r="L282">
        <v>2800</v>
      </c>
      <c r="M282" t="s">
        <v>54</v>
      </c>
      <c r="N282" t="s">
        <v>24</v>
      </c>
      <c r="O282" t="s">
        <v>84</v>
      </c>
      <c r="P282">
        <v>9</v>
      </c>
    </row>
    <row r="283" spans="1:16" x14ac:dyDescent="0.3">
      <c r="A283" t="s">
        <v>983</v>
      </c>
      <c r="B283" t="s">
        <v>984</v>
      </c>
      <c r="C283" t="str">
        <f t="shared" si="8"/>
        <v>May</v>
      </c>
      <c r="D283">
        <f t="shared" si="9"/>
        <v>2025</v>
      </c>
      <c r="E283" t="s">
        <v>949</v>
      </c>
      <c r="F283" t="s">
        <v>222</v>
      </c>
      <c r="G283" t="s">
        <v>37</v>
      </c>
      <c r="H283" t="s">
        <v>38</v>
      </c>
      <c r="I283" t="s">
        <v>60</v>
      </c>
      <c r="J283">
        <v>812</v>
      </c>
      <c r="K283">
        <v>1</v>
      </c>
      <c r="L283">
        <v>812</v>
      </c>
      <c r="M283" t="s">
        <v>23</v>
      </c>
      <c r="N283" t="s">
        <v>40</v>
      </c>
      <c r="O283" t="s">
        <v>41</v>
      </c>
      <c r="P283">
        <v>16</v>
      </c>
    </row>
    <row r="284" spans="1:16" x14ac:dyDescent="0.3">
      <c r="A284" t="s">
        <v>985</v>
      </c>
      <c r="B284" t="s">
        <v>80</v>
      </c>
      <c r="C284" t="str">
        <f t="shared" si="8"/>
        <v>November</v>
      </c>
      <c r="D284">
        <f t="shared" si="9"/>
        <v>2024</v>
      </c>
      <c r="E284" t="s">
        <v>986</v>
      </c>
      <c r="F284" t="s">
        <v>825</v>
      </c>
      <c r="G284" t="s">
        <v>37</v>
      </c>
      <c r="H284" t="s">
        <v>71</v>
      </c>
      <c r="I284" t="s">
        <v>119</v>
      </c>
      <c r="J284">
        <v>550</v>
      </c>
      <c r="K284">
        <v>5</v>
      </c>
      <c r="L284">
        <v>2750</v>
      </c>
      <c r="M284" t="s">
        <v>54</v>
      </c>
      <c r="N284" t="s">
        <v>40</v>
      </c>
      <c r="O284" t="s">
        <v>55</v>
      </c>
      <c r="P284">
        <v>14</v>
      </c>
    </row>
    <row r="285" spans="1:16" x14ac:dyDescent="0.3">
      <c r="A285" t="s">
        <v>987</v>
      </c>
      <c r="B285" t="s">
        <v>754</v>
      </c>
      <c r="C285" t="str">
        <f t="shared" si="8"/>
        <v>March</v>
      </c>
      <c r="D285">
        <f t="shared" si="9"/>
        <v>2024</v>
      </c>
      <c r="E285" t="s">
        <v>811</v>
      </c>
      <c r="F285" t="s">
        <v>988</v>
      </c>
      <c r="G285" t="s">
        <v>20</v>
      </c>
      <c r="H285" t="s">
        <v>21</v>
      </c>
      <c r="I285" t="s">
        <v>114</v>
      </c>
      <c r="J285">
        <v>1164</v>
      </c>
      <c r="K285">
        <v>1</v>
      </c>
      <c r="L285">
        <v>1164</v>
      </c>
      <c r="M285" t="s">
        <v>138</v>
      </c>
      <c r="N285" t="s">
        <v>31</v>
      </c>
      <c r="O285" t="s">
        <v>125</v>
      </c>
      <c r="P285">
        <v>19</v>
      </c>
    </row>
    <row r="286" spans="1:16" x14ac:dyDescent="0.3">
      <c r="A286" t="s">
        <v>989</v>
      </c>
      <c r="B286" t="s">
        <v>990</v>
      </c>
      <c r="C286" t="str">
        <f t="shared" si="8"/>
        <v>September</v>
      </c>
      <c r="D286">
        <f t="shared" si="9"/>
        <v>2024</v>
      </c>
      <c r="E286" t="s">
        <v>991</v>
      </c>
      <c r="F286" t="s">
        <v>723</v>
      </c>
      <c r="G286" t="s">
        <v>46</v>
      </c>
      <c r="H286" t="s">
        <v>38</v>
      </c>
      <c r="I286" t="s">
        <v>47</v>
      </c>
      <c r="J286">
        <v>1213</v>
      </c>
      <c r="K286">
        <v>4</v>
      </c>
      <c r="L286">
        <v>4852</v>
      </c>
      <c r="M286" t="s">
        <v>61</v>
      </c>
      <c r="N286" t="s">
        <v>40</v>
      </c>
      <c r="O286" t="s">
        <v>84</v>
      </c>
      <c r="P286">
        <v>19</v>
      </c>
    </row>
    <row r="287" spans="1:16" x14ac:dyDescent="0.3">
      <c r="A287" t="s">
        <v>992</v>
      </c>
      <c r="B287" t="s">
        <v>993</v>
      </c>
      <c r="C287" t="str">
        <f t="shared" si="8"/>
        <v>September</v>
      </c>
      <c r="D287">
        <f t="shared" si="9"/>
        <v>2024</v>
      </c>
      <c r="E287" t="s">
        <v>994</v>
      </c>
      <c r="F287" t="s">
        <v>995</v>
      </c>
      <c r="G287" t="s">
        <v>46</v>
      </c>
      <c r="H287" t="s">
        <v>38</v>
      </c>
      <c r="I287" t="s">
        <v>60</v>
      </c>
      <c r="J287">
        <v>827</v>
      </c>
      <c r="K287">
        <v>4</v>
      </c>
      <c r="L287">
        <v>3308</v>
      </c>
      <c r="M287" t="s">
        <v>138</v>
      </c>
      <c r="N287" t="s">
        <v>48</v>
      </c>
      <c r="O287" t="s">
        <v>25</v>
      </c>
      <c r="P287">
        <v>10</v>
      </c>
    </row>
    <row r="288" spans="1:16" x14ac:dyDescent="0.3">
      <c r="A288" t="s">
        <v>996</v>
      </c>
      <c r="B288" t="s">
        <v>984</v>
      </c>
      <c r="C288" t="str">
        <f t="shared" si="8"/>
        <v>May</v>
      </c>
      <c r="D288">
        <f t="shared" si="9"/>
        <v>2025</v>
      </c>
      <c r="E288" t="s">
        <v>997</v>
      </c>
      <c r="F288" t="s">
        <v>998</v>
      </c>
      <c r="G288" t="s">
        <v>20</v>
      </c>
      <c r="H288" t="s">
        <v>21</v>
      </c>
      <c r="I288" t="s">
        <v>53</v>
      </c>
      <c r="J288">
        <v>1168</v>
      </c>
      <c r="K288">
        <v>5</v>
      </c>
      <c r="L288">
        <v>5840</v>
      </c>
      <c r="M288" t="s">
        <v>54</v>
      </c>
      <c r="N288" t="s">
        <v>40</v>
      </c>
      <c r="O288" t="s">
        <v>62</v>
      </c>
      <c r="P288">
        <v>3</v>
      </c>
    </row>
    <row r="289" spans="1:16" x14ac:dyDescent="0.3">
      <c r="A289" t="s">
        <v>999</v>
      </c>
      <c r="B289" t="s">
        <v>838</v>
      </c>
      <c r="C289" t="str">
        <f t="shared" si="8"/>
        <v>August</v>
      </c>
      <c r="D289">
        <f t="shared" si="9"/>
        <v>2024</v>
      </c>
      <c r="E289" t="s">
        <v>234</v>
      </c>
      <c r="F289" t="s">
        <v>1000</v>
      </c>
      <c r="G289" t="s">
        <v>46</v>
      </c>
      <c r="H289" t="s">
        <v>21</v>
      </c>
      <c r="I289" t="s">
        <v>109</v>
      </c>
      <c r="J289">
        <v>1191</v>
      </c>
      <c r="K289">
        <v>1</v>
      </c>
      <c r="L289">
        <v>1191</v>
      </c>
      <c r="M289" t="s">
        <v>138</v>
      </c>
      <c r="N289" t="s">
        <v>24</v>
      </c>
      <c r="O289" t="s">
        <v>41</v>
      </c>
      <c r="P289">
        <v>3</v>
      </c>
    </row>
    <row r="290" spans="1:16" x14ac:dyDescent="0.3">
      <c r="A290" t="s">
        <v>1001</v>
      </c>
      <c r="B290" t="s">
        <v>335</v>
      </c>
      <c r="C290" t="str">
        <f t="shared" si="8"/>
        <v>June</v>
      </c>
      <c r="D290">
        <f t="shared" si="9"/>
        <v>2025</v>
      </c>
      <c r="E290" t="s">
        <v>725</v>
      </c>
      <c r="F290" t="s">
        <v>1002</v>
      </c>
      <c r="G290" t="s">
        <v>46</v>
      </c>
      <c r="H290" t="s">
        <v>21</v>
      </c>
      <c r="I290" t="s">
        <v>77</v>
      </c>
      <c r="J290">
        <v>994</v>
      </c>
      <c r="K290">
        <v>3</v>
      </c>
      <c r="L290">
        <v>2982</v>
      </c>
      <c r="M290" t="s">
        <v>30</v>
      </c>
      <c r="N290" t="s">
        <v>24</v>
      </c>
      <c r="O290" t="s">
        <v>41</v>
      </c>
      <c r="P290">
        <v>25</v>
      </c>
    </row>
    <row r="291" spans="1:16" x14ac:dyDescent="0.3">
      <c r="A291" t="s">
        <v>1003</v>
      </c>
      <c r="B291" t="s">
        <v>273</v>
      </c>
      <c r="C291" t="str">
        <f t="shared" si="8"/>
        <v>April</v>
      </c>
      <c r="D291">
        <f t="shared" si="9"/>
        <v>2024</v>
      </c>
      <c r="E291" t="s">
        <v>1004</v>
      </c>
      <c r="F291" t="s">
        <v>298</v>
      </c>
      <c r="G291" t="s">
        <v>20</v>
      </c>
      <c r="H291" t="s">
        <v>21</v>
      </c>
      <c r="I291" t="s">
        <v>109</v>
      </c>
      <c r="J291">
        <v>1437</v>
      </c>
      <c r="K291">
        <v>2</v>
      </c>
      <c r="L291">
        <v>2874</v>
      </c>
      <c r="M291" t="s">
        <v>23</v>
      </c>
      <c r="N291" t="s">
        <v>24</v>
      </c>
      <c r="O291" t="s">
        <v>125</v>
      </c>
      <c r="P291">
        <v>7</v>
      </c>
    </row>
    <row r="292" spans="1:16" x14ac:dyDescent="0.3">
      <c r="A292" t="s">
        <v>1005</v>
      </c>
      <c r="B292" t="s">
        <v>74</v>
      </c>
      <c r="C292" t="str">
        <f t="shared" si="8"/>
        <v>April</v>
      </c>
      <c r="D292">
        <f t="shared" si="9"/>
        <v>2025</v>
      </c>
      <c r="E292" t="s">
        <v>161</v>
      </c>
      <c r="F292" t="s">
        <v>173</v>
      </c>
      <c r="G292" t="s">
        <v>37</v>
      </c>
      <c r="H292" t="s">
        <v>71</v>
      </c>
      <c r="I292" t="s">
        <v>96</v>
      </c>
      <c r="J292">
        <v>910</v>
      </c>
      <c r="K292">
        <v>2</v>
      </c>
      <c r="L292">
        <v>1820</v>
      </c>
      <c r="M292" t="s">
        <v>61</v>
      </c>
      <c r="N292" t="s">
        <v>24</v>
      </c>
      <c r="O292" t="s">
        <v>125</v>
      </c>
      <c r="P292">
        <v>7</v>
      </c>
    </row>
    <row r="293" spans="1:16" x14ac:dyDescent="0.3">
      <c r="A293" t="s">
        <v>1006</v>
      </c>
      <c r="B293" t="s">
        <v>795</v>
      </c>
      <c r="C293" t="str">
        <f t="shared" si="8"/>
        <v>August</v>
      </c>
      <c r="D293">
        <f t="shared" si="9"/>
        <v>2024</v>
      </c>
      <c r="E293" t="s">
        <v>1007</v>
      </c>
      <c r="F293" t="s">
        <v>108</v>
      </c>
      <c r="G293" t="s">
        <v>46</v>
      </c>
      <c r="H293" t="s">
        <v>71</v>
      </c>
      <c r="I293" t="s">
        <v>96</v>
      </c>
      <c r="J293">
        <v>1137</v>
      </c>
      <c r="K293">
        <v>1</v>
      </c>
      <c r="L293">
        <v>1137</v>
      </c>
      <c r="M293" t="s">
        <v>138</v>
      </c>
      <c r="N293" t="s">
        <v>31</v>
      </c>
      <c r="O293" t="s">
        <v>84</v>
      </c>
      <c r="P293">
        <v>21</v>
      </c>
    </row>
    <row r="294" spans="1:16" x14ac:dyDescent="0.3">
      <c r="A294" t="s">
        <v>1008</v>
      </c>
      <c r="B294" t="s">
        <v>1009</v>
      </c>
      <c r="C294" t="str">
        <f t="shared" si="8"/>
        <v>January</v>
      </c>
      <c r="D294">
        <f t="shared" si="9"/>
        <v>2024</v>
      </c>
      <c r="E294" t="s">
        <v>197</v>
      </c>
      <c r="F294" t="s">
        <v>1010</v>
      </c>
      <c r="G294" t="s">
        <v>46</v>
      </c>
      <c r="H294" t="s">
        <v>21</v>
      </c>
      <c r="I294" t="s">
        <v>109</v>
      </c>
      <c r="J294">
        <v>882</v>
      </c>
      <c r="K294">
        <v>4</v>
      </c>
      <c r="L294">
        <v>3528</v>
      </c>
      <c r="M294" t="s">
        <v>30</v>
      </c>
      <c r="N294" t="s">
        <v>40</v>
      </c>
      <c r="O294" t="s">
        <v>25</v>
      </c>
      <c r="P294">
        <v>19</v>
      </c>
    </row>
    <row r="295" spans="1:16" x14ac:dyDescent="0.3">
      <c r="A295" t="s">
        <v>1011</v>
      </c>
      <c r="B295" t="s">
        <v>1012</v>
      </c>
      <c r="C295" t="str">
        <f t="shared" si="8"/>
        <v>June</v>
      </c>
      <c r="D295">
        <f t="shared" si="9"/>
        <v>2024</v>
      </c>
      <c r="E295" t="s">
        <v>1013</v>
      </c>
      <c r="F295" t="s">
        <v>29</v>
      </c>
      <c r="G295" t="s">
        <v>46</v>
      </c>
      <c r="H295" t="s">
        <v>71</v>
      </c>
      <c r="I295" t="s">
        <v>96</v>
      </c>
      <c r="J295">
        <v>901</v>
      </c>
      <c r="K295">
        <v>1</v>
      </c>
      <c r="L295">
        <v>901</v>
      </c>
      <c r="M295" t="s">
        <v>54</v>
      </c>
      <c r="N295" t="s">
        <v>40</v>
      </c>
      <c r="O295" t="s">
        <v>55</v>
      </c>
      <c r="P295">
        <v>19</v>
      </c>
    </row>
    <row r="296" spans="1:16" x14ac:dyDescent="0.3">
      <c r="A296" t="s">
        <v>1014</v>
      </c>
      <c r="B296" t="s">
        <v>870</v>
      </c>
      <c r="C296" t="str">
        <f t="shared" si="8"/>
        <v>June</v>
      </c>
      <c r="D296">
        <f t="shared" si="9"/>
        <v>2025</v>
      </c>
      <c r="E296" t="s">
        <v>387</v>
      </c>
      <c r="F296" t="s">
        <v>392</v>
      </c>
      <c r="G296" t="s">
        <v>46</v>
      </c>
      <c r="H296" t="s">
        <v>38</v>
      </c>
      <c r="I296" t="s">
        <v>39</v>
      </c>
      <c r="J296">
        <v>899</v>
      </c>
      <c r="K296">
        <v>4</v>
      </c>
      <c r="L296">
        <v>3596</v>
      </c>
      <c r="M296" t="s">
        <v>138</v>
      </c>
      <c r="N296" t="s">
        <v>31</v>
      </c>
      <c r="O296" t="s">
        <v>125</v>
      </c>
      <c r="P296">
        <v>1</v>
      </c>
    </row>
    <row r="297" spans="1:16" x14ac:dyDescent="0.3">
      <c r="A297" t="s">
        <v>1015</v>
      </c>
      <c r="B297" t="s">
        <v>469</v>
      </c>
      <c r="C297" t="str">
        <f t="shared" si="8"/>
        <v>April</v>
      </c>
      <c r="D297">
        <f t="shared" si="9"/>
        <v>2025</v>
      </c>
      <c r="E297" t="s">
        <v>1016</v>
      </c>
      <c r="F297" t="s">
        <v>575</v>
      </c>
      <c r="G297" t="s">
        <v>37</v>
      </c>
      <c r="H297" t="s">
        <v>71</v>
      </c>
      <c r="I297" t="s">
        <v>124</v>
      </c>
      <c r="J297">
        <v>689</v>
      </c>
      <c r="K297">
        <v>5</v>
      </c>
      <c r="L297">
        <v>3445</v>
      </c>
      <c r="M297" t="s">
        <v>54</v>
      </c>
      <c r="N297" t="s">
        <v>40</v>
      </c>
      <c r="O297" t="s">
        <v>125</v>
      </c>
      <c r="P297">
        <v>4</v>
      </c>
    </row>
    <row r="298" spans="1:16" x14ac:dyDescent="0.3">
      <c r="A298" t="s">
        <v>1017</v>
      </c>
      <c r="B298" t="s">
        <v>649</v>
      </c>
      <c r="C298" t="str">
        <f t="shared" si="8"/>
        <v>September</v>
      </c>
      <c r="D298">
        <f t="shared" si="9"/>
        <v>2024</v>
      </c>
      <c r="E298" t="s">
        <v>1018</v>
      </c>
      <c r="F298" t="s">
        <v>1019</v>
      </c>
      <c r="G298" t="s">
        <v>46</v>
      </c>
      <c r="H298" t="s">
        <v>71</v>
      </c>
      <c r="I298" t="s">
        <v>83</v>
      </c>
      <c r="J298">
        <v>220</v>
      </c>
      <c r="K298">
        <v>1</v>
      </c>
      <c r="L298">
        <v>220</v>
      </c>
      <c r="M298" t="s">
        <v>54</v>
      </c>
      <c r="N298" t="s">
        <v>48</v>
      </c>
      <c r="O298" t="s">
        <v>32</v>
      </c>
      <c r="P298">
        <v>28</v>
      </c>
    </row>
    <row r="299" spans="1:16" x14ac:dyDescent="0.3">
      <c r="A299" t="s">
        <v>1020</v>
      </c>
      <c r="B299" t="s">
        <v>902</v>
      </c>
      <c r="C299" t="str">
        <f t="shared" si="8"/>
        <v>August</v>
      </c>
      <c r="D299">
        <f t="shared" si="9"/>
        <v>2024</v>
      </c>
      <c r="E299" t="s">
        <v>1021</v>
      </c>
      <c r="F299" t="s">
        <v>432</v>
      </c>
      <c r="G299" t="s">
        <v>37</v>
      </c>
      <c r="H299" t="s">
        <v>21</v>
      </c>
      <c r="I299" t="s">
        <v>22</v>
      </c>
      <c r="J299">
        <v>729</v>
      </c>
      <c r="K299">
        <v>5</v>
      </c>
      <c r="L299">
        <v>3645</v>
      </c>
      <c r="M299" t="s">
        <v>138</v>
      </c>
      <c r="N299" t="s">
        <v>31</v>
      </c>
      <c r="O299" t="s">
        <v>32</v>
      </c>
      <c r="P299">
        <v>21</v>
      </c>
    </row>
    <row r="300" spans="1:16" x14ac:dyDescent="0.3">
      <c r="A300" t="s">
        <v>1022</v>
      </c>
      <c r="B300" t="s">
        <v>613</v>
      </c>
      <c r="C300" t="str">
        <f t="shared" si="8"/>
        <v>March</v>
      </c>
      <c r="D300">
        <f t="shared" si="9"/>
        <v>2024</v>
      </c>
      <c r="E300" t="s">
        <v>470</v>
      </c>
      <c r="F300" t="s">
        <v>896</v>
      </c>
      <c r="G300" t="s">
        <v>46</v>
      </c>
      <c r="H300" t="s">
        <v>71</v>
      </c>
      <c r="I300" t="s">
        <v>72</v>
      </c>
      <c r="J300">
        <v>762</v>
      </c>
      <c r="K300">
        <v>3</v>
      </c>
      <c r="L300">
        <v>2286</v>
      </c>
      <c r="M300" t="s">
        <v>23</v>
      </c>
      <c r="N300" t="s">
        <v>24</v>
      </c>
      <c r="O300" t="s">
        <v>41</v>
      </c>
      <c r="P300">
        <v>14</v>
      </c>
    </row>
    <row r="301" spans="1:16" x14ac:dyDescent="0.3">
      <c r="A301" t="s">
        <v>1023</v>
      </c>
      <c r="B301" t="s">
        <v>1024</v>
      </c>
      <c r="C301" t="str">
        <f t="shared" si="8"/>
        <v>February</v>
      </c>
      <c r="D301">
        <f t="shared" si="9"/>
        <v>2025</v>
      </c>
      <c r="E301" t="s">
        <v>600</v>
      </c>
      <c r="F301" t="s">
        <v>1025</v>
      </c>
      <c r="G301" t="s">
        <v>37</v>
      </c>
      <c r="H301" t="s">
        <v>38</v>
      </c>
      <c r="I301" t="s">
        <v>60</v>
      </c>
      <c r="J301">
        <v>1399</v>
      </c>
      <c r="K301">
        <v>2</v>
      </c>
      <c r="L301">
        <v>2798</v>
      </c>
      <c r="M301" t="s">
        <v>23</v>
      </c>
      <c r="N301" t="s">
        <v>40</v>
      </c>
      <c r="O301" t="s">
        <v>84</v>
      </c>
      <c r="P301">
        <v>18</v>
      </c>
    </row>
    <row r="302" spans="1:16" x14ac:dyDescent="0.3">
      <c r="A302" t="s">
        <v>1026</v>
      </c>
      <c r="B302" t="s">
        <v>1027</v>
      </c>
      <c r="C302" t="str">
        <f t="shared" si="8"/>
        <v>June</v>
      </c>
      <c r="D302">
        <f t="shared" si="9"/>
        <v>2025</v>
      </c>
      <c r="E302" t="s">
        <v>1028</v>
      </c>
      <c r="F302" t="s">
        <v>238</v>
      </c>
      <c r="G302" t="s">
        <v>37</v>
      </c>
      <c r="H302" t="s">
        <v>71</v>
      </c>
      <c r="I302" t="s">
        <v>96</v>
      </c>
      <c r="J302">
        <v>1081</v>
      </c>
      <c r="K302">
        <v>2</v>
      </c>
      <c r="L302">
        <v>2162</v>
      </c>
      <c r="M302" t="s">
        <v>23</v>
      </c>
      <c r="N302" t="s">
        <v>24</v>
      </c>
      <c r="O302" t="s">
        <v>125</v>
      </c>
      <c r="P302">
        <v>10</v>
      </c>
    </row>
    <row r="303" spans="1:16" x14ac:dyDescent="0.3">
      <c r="A303" t="s">
        <v>1029</v>
      </c>
      <c r="B303" t="s">
        <v>1030</v>
      </c>
      <c r="C303" t="str">
        <f t="shared" si="8"/>
        <v>May</v>
      </c>
      <c r="D303">
        <f t="shared" si="9"/>
        <v>2024</v>
      </c>
      <c r="E303" t="s">
        <v>230</v>
      </c>
      <c r="F303" t="s">
        <v>1031</v>
      </c>
      <c r="G303" t="s">
        <v>46</v>
      </c>
      <c r="H303" t="s">
        <v>21</v>
      </c>
      <c r="I303" t="s">
        <v>22</v>
      </c>
      <c r="J303">
        <v>807</v>
      </c>
      <c r="K303">
        <v>2</v>
      </c>
      <c r="L303">
        <v>1614</v>
      </c>
      <c r="M303" t="s">
        <v>30</v>
      </c>
      <c r="N303" t="s">
        <v>40</v>
      </c>
      <c r="O303" t="s">
        <v>84</v>
      </c>
      <c r="P303">
        <v>15</v>
      </c>
    </row>
    <row r="304" spans="1:16" x14ac:dyDescent="0.3">
      <c r="A304" t="s">
        <v>1032</v>
      </c>
      <c r="B304" t="s">
        <v>1033</v>
      </c>
      <c r="C304" t="str">
        <f t="shared" si="8"/>
        <v>July</v>
      </c>
      <c r="D304">
        <f t="shared" si="9"/>
        <v>2025</v>
      </c>
      <c r="E304" t="s">
        <v>1034</v>
      </c>
      <c r="F304" t="s">
        <v>1035</v>
      </c>
      <c r="G304" t="s">
        <v>37</v>
      </c>
      <c r="H304" t="s">
        <v>38</v>
      </c>
      <c r="I304" t="s">
        <v>39</v>
      </c>
      <c r="J304">
        <v>1481</v>
      </c>
      <c r="K304">
        <v>1</v>
      </c>
      <c r="L304">
        <v>1481</v>
      </c>
      <c r="M304" t="s">
        <v>30</v>
      </c>
      <c r="N304" t="s">
        <v>48</v>
      </c>
      <c r="O304" t="s">
        <v>78</v>
      </c>
      <c r="P304">
        <v>17</v>
      </c>
    </row>
    <row r="305" spans="1:16" x14ac:dyDescent="0.3">
      <c r="A305" t="s">
        <v>1036</v>
      </c>
      <c r="B305" t="s">
        <v>773</v>
      </c>
      <c r="C305" t="str">
        <f t="shared" si="8"/>
        <v>April</v>
      </c>
      <c r="D305">
        <f t="shared" si="9"/>
        <v>2024</v>
      </c>
      <c r="E305" t="s">
        <v>1037</v>
      </c>
      <c r="F305" t="s">
        <v>1038</v>
      </c>
      <c r="G305" t="s">
        <v>46</v>
      </c>
      <c r="H305" t="s">
        <v>71</v>
      </c>
      <c r="I305" t="s">
        <v>124</v>
      </c>
      <c r="J305">
        <v>653</v>
      </c>
      <c r="K305">
        <v>3</v>
      </c>
      <c r="L305">
        <v>1959</v>
      </c>
      <c r="M305" t="s">
        <v>23</v>
      </c>
      <c r="N305" t="s">
        <v>48</v>
      </c>
      <c r="O305" t="s">
        <v>78</v>
      </c>
      <c r="P305">
        <v>22</v>
      </c>
    </row>
    <row r="306" spans="1:16" x14ac:dyDescent="0.3">
      <c r="A306" t="s">
        <v>1039</v>
      </c>
      <c r="B306" t="s">
        <v>1040</v>
      </c>
      <c r="C306" t="str">
        <f t="shared" si="8"/>
        <v>August</v>
      </c>
      <c r="D306">
        <f t="shared" si="9"/>
        <v>2025</v>
      </c>
      <c r="E306" t="s">
        <v>1041</v>
      </c>
      <c r="F306" t="s">
        <v>358</v>
      </c>
      <c r="G306" t="s">
        <v>46</v>
      </c>
      <c r="H306" t="s">
        <v>21</v>
      </c>
      <c r="I306" t="s">
        <v>77</v>
      </c>
      <c r="J306">
        <v>836</v>
      </c>
      <c r="K306">
        <v>2</v>
      </c>
      <c r="L306">
        <v>1672</v>
      </c>
      <c r="M306" t="s">
        <v>138</v>
      </c>
      <c r="N306" t="s">
        <v>40</v>
      </c>
      <c r="O306" t="s">
        <v>41</v>
      </c>
      <c r="P306">
        <v>2</v>
      </c>
    </row>
    <row r="307" spans="1:16" x14ac:dyDescent="0.3">
      <c r="A307" t="s">
        <v>1042</v>
      </c>
      <c r="B307" t="s">
        <v>1043</v>
      </c>
      <c r="C307" t="str">
        <f t="shared" si="8"/>
        <v>March</v>
      </c>
      <c r="D307">
        <f t="shared" si="9"/>
        <v>2024</v>
      </c>
      <c r="E307" t="s">
        <v>1044</v>
      </c>
      <c r="F307" t="s">
        <v>129</v>
      </c>
      <c r="G307" t="s">
        <v>46</v>
      </c>
      <c r="H307" t="s">
        <v>71</v>
      </c>
      <c r="I307" t="s">
        <v>124</v>
      </c>
      <c r="J307">
        <v>1307</v>
      </c>
      <c r="K307">
        <v>3</v>
      </c>
      <c r="L307">
        <v>3921</v>
      </c>
      <c r="M307" t="s">
        <v>23</v>
      </c>
      <c r="N307" t="s">
        <v>24</v>
      </c>
      <c r="O307" t="s">
        <v>62</v>
      </c>
      <c r="P307">
        <v>12</v>
      </c>
    </row>
    <row r="308" spans="1:16" x14ac:dyDescent="0.3">
      <c r="A308" t="s">
        <v>1045</v>
      </c>
      <c r="B308" t="s">
        <v>1046</v>
      </c>
      <c r="C308" t="str">
        <f t="shared" si="8"/>
        <v>December</v>
      </c>
      <c r="D308">
        <f t="shared" si="9"/>
        <v>2024</v>
      </c>
      <c r="E308" t="s">
        <v>1047</v>
      </c>
      <c r="F308" t="s">
        <v>1048</v>
      </c>
      <c r="G308" t="s">
        <v>20</v>
      </c>
      <c r="H308" t="s">
        <v>71</v>
      </c>
      <c r="I308" t="s">
        <v>96</v>
      </c>
      <c r="J308">
        <v>1256</v>
      </c>
      <c r="K308">
        <v>5</v>
      </c>
      <c r="L308">
        <v>6280</v>
      </c>
      <c r="M308" t="s">
        <v>23</v>
      </c>
      <c r="N308" t="s">
        <v>24</v>
      </c>
      <c r="O308" t="s">
        <v>125</v>
      </c>
      <c r="P308">
        <v>13</v>
      </c>
    </row>
    <row r="309" spans="1:16" x14ac:dyDescent="0.3">
      <c r="A309" t="s">
        <v>1049</v>
      </c>
      <c r="B309" t="s">
        <v>1050</v>
      </c>
      <c r="C309" t="str">
        <f t="shared" si="8"/>
        <v>July</v>
      </c>
      <c r="D309">
        <f t="shared" si="9"/>
        <v>2024</v>
      </c>
      <c r="E309" t="s">
        <v>133</v>
      </c>
      <c r="F309" t="s">
        <v>1051</v>
      </c>
      <c r="G309" t="s">
        <v>37</v>
      </c>
      <c r="H309" t="s">
        <v>71</v>
      </c>
      <c r="I309" t="s">
        <v>124</v>
      </c>
      <c r="J309">
        <v>1158</v>
      </c>
      <c r="K309">
        <v>2</v>
      </c>
      <c r="L309">
        <v>2316</v>
      </c>
      <c r="M309" t="s">
        <v>30</v>
      </c>
      <c r="N309" t="s">
        <v>40</v>
      </c>
      <c r="O309" t="s">
        <v>55</v>
      </c>
      <c r="P309">
        <v>22</v>
      </c>
    </row>
    <row r="310" spans="1:16" x14ac:dyDescent="0.3">
      <c r="A310" t="s">
        <v>1052</v>
      </c>
      <c r="B310" t="s">
        <v>870</v>
      </c>
      <c r="C310" t="str">
        <f t="shared" si="8"/>
        <v>June</v>
      </c>
      <c r="D310">
        <f t="shared" si="9"/>
        <v>2025</v>
      </c>
      <c r="E310" t="s">
        <v>168</v>
      </c>
      <c r="F310" t="s">
        <v>767</v>
      </c>
      <c r="G310" t="s">
        <v>46</v>
      </c>
      <c r="H310" t="s">
        <v>21</v>
      </c>
      <c r="I310" t="s">
        <v>22</v>
      </c>
      <c r="J310">
        <v>1169</v>
      </c>
      <c r="K310">
        <v>4</v>
      </c>
      <c r="L310">
        <v>4676</v>
      </c>
      <c r="M310" t="s">
        <v>61</v>
      </c>
      <c r="N310" t="s">
        <v>31</v>
      </c>
      <c r="O310" t="s">
        <v>62</v>
      </c>
      <c r="P310">
        <v>14</v>
      </c>
    </row>
    <row r="311" spans="1:16" x14ac:dyDescent="0.3">
      <c r="A311" t="s">
        <v>1053</v>
      </c>
      <c r="B311" t="s">
        <v>473</v>
      </c>
      <c r="C311" t="str">
        <f t="shared" si="8"/>
        <v>August</v>
      </c>
      <c r="D311">
        <f t="shared" si="9"/>
        <v>2025</v>
      </c>
      <c r="E311" t="s">
        <v>1054</v>
      </c>
      <c r="F311" t="s">
        <v>1055</v>
      </c>
      <c r="G311" t="s">
        <v>20</v>
      </c>
      <c r="H311" t="s">
        <v>71</v>
      </c>
      <c r="I311" t="s">
        <v>72</v>
      </c>
      <c r="J311">
        <v>811</v>
      </c>
      <c r="K311">
        <v>3</v>
      </c>
      <c r="L311">
        <v>2433</v>
      </c>
      <c r="M311" t="s">
        <v>30</v>
      </c>
      <c r="N311" t="s">
        <v>31</v>
      </c>
      <c r="O311" t="s">
        <v>41</v>
      </c>
      <c r="P311">
        <v>24</v>
      </c>
    </row>
    <row r="312" spans="1:16" x14ac:dyDescent="0.3">
      <c r="A312" t="s">
        <v>1056</v>
      </c>
      <c r="B312" t="s">
        <v>1057</v>
      </c>
      <c r="C312" t="str">
        <f t="shared" si="8"/>
        <v>May</v>
      </c>
      <c r="D312">
        <f t="shared" si="9"/>
        <v>2025</v>
      </c>
      <c r="E312" t="s">
        <v>1058</v>
      </c>
      <c r="F312" t="s">
        <v>1059</v>
      </c>
      <c r="G312" t="s">
        <v>46</v>
      </c>
      <c r="H312" t="s">
        <v>71</v>
      </c>
      <c r="I312" t="s">
        <v>72</v>
      </c>
      <c r="J312">
        <v>356</v>
      </c>
      <c r="K312">
        <v>5</v>
      </c>
      <c r="L312">
        <v>1780</v>
      </c>
      <c r="M312" t="s">
        <v>30</v>
      </c>
      <c r="N312" t="s">
        <v>40</v>
      </c>
      <c r="O312" t="s">
        <v>125</v>
      </c>
      <c r="P312">
        <v>30</v>
      </c>
    </row>
    <row r="313" spans="1:16" x14ac:dyDescent="0.3">
      <c r="A313" t="s">
        <v>1060</v>
      </c>
      <c r="B313" t="s">
        <v>1061</v>
      </c>
      <c r="C313" t="str">
        <f t="shared" si="8"/>
        <v>June</v>
      </c>
      <c r="D313">
        <f t="shared" si="9"/>
        <v>2025</v>
      </c>
      <c r="E313" t="s">
        <v>1062</v>
      </c>
      <c r="F313" t="s">
        <v>1002</v>
      </c>
      <c r="G313" t="s">
        <v>46</v>
      </c>
      <c r="H313" t="s">
        <v>21</v>
      </c>
      <c r="I313" t="s">
        <v>53</v>
      </c>
      <c r="J313">
        <v>728</v>
      </c>
      <c r="K313">
        <v>3</v>
      </c>
      <c r="L313">
        <v>2184</v>
      </c>
      <c r="M313" t="s">
        <v>61</v>
      </c>
      <c r="N313" t="s">
        <v>24</v>
      </c>
      <c r="O313" t="s">
        <v>32</v>
      </c>
      <c r="P313">
        <v>20</v>
      </c>
    </row>
    <row r="314" spans="1:16" x14ac:dyDescent="0.3">
      <c r="A314" t="s">
        <v>1063</v>
      </c>
      <c r="B314" t="s">
        <v>1064</v>
      </c>
      <c r="C314" t="str">
        <f t="shared" si="8"/>
        <v>May</v>
      </c>
      <c r="D314">
        <f t="shared" si="9"/>
        <v>2024</v>
      </c>
      <c r="E314" t="s">
        <v>1065</v>
      </c>
      <c r="F314" t="s">
        <v>829</v>
      </c>
      <c r="G314" t="s">
        <v>37</v>
      </c>
      <c r="H314" t="s">
        <v>38</v>
      </c>
      <c r="I314" t="s">
        <v>47</v>
      </c>
      <c r="J314">
        <v>419</v>
      </c>
      <c r="K314">
        <v>5</v>
      </c>
      <c r="L314">
        <v>2095</v>
      </c>
      <c r="M314" t="s">
        <v>61</v>
      </c>
      <c r="N314" t="s">
        <v>40</v>
      </c>
      <c r="O314" t="s">
        <v>84</v>
      </c>
      <c r="P314">
        <v>3</v>
      </c>
    </row>
    <row r="315" spans="1:16" x14ac:dyDescent="0.3">
      <c r="A315" t="s">
        <v>1066</v>
      </c>
      <c r="B315" t="s">
        <v>1067</v>
      </c>
      <c r="C315" t="str">
        <f t="shared" si="8"/>
        <v>January</v>
      </c>
      <c r="D315">
        <f t="shared" si="9"/>
        <v>2025</v>
      </c>
      <c r="E315" t="s">
        <v>387</v>
      </c>
      <c r="F315" t="s">
        <v>709</v>
      </c>
      <c r="G315" t="s">
        <v>46</v>
      </c>
      <c r="H315" t="s">
        <v>38</v>
      </c>
      <c r="I315" t="s">
        <v>325</v>
      </c>
      <c r="J315">
        <v>546</v>
      </c>
      <c r="K315">
        <v>3</v>
      </c>
      <c r="L315">
        <v>1638</v>
      </c>
      <c r="M315" t="s">
        <v>23</v>
      </c>
      <c r="N315" t="s">
        <v>48</v>
      </c>
      <c r="O315" t="s">
        <v>62</v>
      </c>
      <c r="P315">
        <v>21</v>
      </c>
    </row>
    <row r="316" spans="1:16" x14ac:dyDescent="0.3">
      <c r="A316" t="s">
        <v>1068</v>
      </c>
      <c r="B316" t="s">
        <v>1069</v>
      </c>
      <c r="C316" t="str">
        <f t="shared" si="8"/>
        <v>December</v>
      </c>
      <c r="D316">
        <f t="shared" si="9"/>
        <v>2024</v>
      </c>
      <c r="E316" t="s">
        <v>1070</v>
      </c>
      <c r="F316" t="s">
        <v>1071</v>
      </c>
      <c r="G316" t="s">
        <v>37</v>
      </c>
      <c r="H316" t="s">
        <v>38</v>
      </c>
      <c r="I316" t="s">
        <v>325</v>
      </c>
      <c r="J316">
        <v>1165</v>
      </c>
      <c r="K316">
        <v>2</v>
      </c>
      <c r="L316">
        <v>2330</v>
      </c>
      <c r="M316" t="s">
        <v>23</v>
      </c>
      <c r="N316" t="s">
        <v>24</v>
      </c>
      <c r="O316" t="s">
        <v>25</v>
      </c>
      <c r="P316">
        <v>14</v>
      </c>
    </row>
    <row r="317" spans="1:16" x14ac:dyDescent="0.3">
      <c r="A317" t="s">
        <v>1072</v>
      </c>
      <c r="B317" t="s">
        <v>1073</v>
      </c>
      <c r="C317" t="str">
        <f t="shared" si="8"/>
        <v>August</v>
      </c>
      <c r="D317">
        <f t="shared" si="9"/>
        <v>2025</v>
      </c>
      <c r="E317" t="s">
        <v>1074</v>
      </c>
      <c r="F317" t="s">
        <v>723</v>
      </c>
      <c r="G317" t="s">
        <v>37</v>
      </c>
      <c r="H317" t="s">
        <v>38</v>
      </c>
      <c r="I317" t="s">
        <v>60</v>
      </c>
      <c r="J317">
        <v>944</v>
      </c>
      <c r="K317">
        <v>5</v>
      </c>
      <c r="L317">
        <v>4720</v>
      </c>
      <c r="M317" t="s">
        <v>54</v>
      </c>
      <c r="N317" t="s">
        <v>31</v>
      </c>
      <c r="O317" t="s">
        <v>78</v>
      </c>
      <c r="P317">
        <v>12</v>
      </c>
    </row>
    <row r="318" spans="1:16" x14ac:dyDescent="0.3">
      <c r="A318" t="s">
        <v>1075</v>
      </c>
      <c r="B318" t="s">
        <v>414</v>
      </c>
      <c r="C318" t="str">
        <f t="shared" si="8"/>
        <v>June</v>
      </c>
      <c r="D318">
        <f t="shared" si="9"/>
        <v>2024</v>
      </c>
      <c r="E318" t="s">
        <v>1076</v>
      </c>
      <c r="F318" t="s">
        <v>562</v>
      </c>
      <c r="G318" t="s">
        <v>37</v>
      </c>
      <c r="H318" t="s">
        <v>38</v>
      </c>
      <c r="I318" t="s">
        <v>39</v>
      </c>
      <c r="J318">
        <v>275</v>
      </c>
      <c r="K318">
        <v>3</v>
      </c>
      <c r="L318">
        <v>825</v>
      </c>
      <c r="M318" t="s">
        <v>23</v>
      </c>
      <c r="N318" t="s">
        <v>40</v>
      </c>
      <c r="O318" t="s">
        <v>41</v>
      </c>
      <c r="P318">
        <v>9</v>
      </c>
    </row>
    <row r="319" spans="1:16" x14ac:dyDescent="0.3">
      <c r="A319" t="s">
        <v>1077</v>
      </c>
      <c r="B319" t="s">
        <v>834</v>
      </c>
      <c r="C319" t="str">
        <f t="shared" si="8"/>
        <v>July</v>
      </c>
      <c r="D319">
        <f t="shared" si="9"/>
        <v>2025</v>
      </c>
      <c r="E319" t="s">
        <v>1078</v>
      </c>
      <c r="F319" t="s">
        <v>278</v>
      </c>
      <c r="G319" t="s">
        <v>20</v>
      </c>
      <c r="H319" t="s">
        <v>21</v>
      </c>
      <c r="I319" t="s">
        <v>109</v>
      </c>
      <c r="J319">
        <v>1148</v>
      </c>
      <c r="K319">
        <v>2</v>
      </c>
      <c r="L319">
        <v>2296</v>
      </c>
      <c r="M319" t="s">
        <v>138</v>
      </c>
      <c r="N319" t="s">
        <v>24</v>
      </c>
      <c r="O319" t="s">
        <v>62</v>
      </c>
      <c r="P319">
        <v>18</v>
      </c>
    </row>
    <row r="320" spans="1:16" x14ac:dyDescent="0.3">
      <c r="A320" t="s">
        <v>1079</v>
      </c>
      <c r="B320" t="s">
        <v>982</v>
      </c>
      <c r="C320" t="str">
        <f t="shared" si="8"/>
        <v>April</v>
      </c>
      <c r="D320">
        <f t="shared" si="9"/>
        <v>2025</v>
      </c>
      <c r="E320" t="s">
        <v>1080</v>
      </c>
      <c r="F320" t="s">
        <v>962</v>
      </c>
      <c r="G320" t="s">
        <v>37</v>
      </c>
      <c r="H320" t="s">
        <v>71</v>
      </c>
      <c r="I320" t="s">
        <v>83</v>
      </c>
      <c r="J320">
        <v>1154</v>
      </c>
      <c r="K320">
        <v>4</v>
      </c>
      <c r="L320">
        <v>4616</v>
      </c>
      <c r="M320" t="s">
        <v>61</v>
      </c>
      <c r="N320" t="s">
        <v>24</v>
      </c>
      <c r="O320" t="s">
        <v>55</v>
      </c>
      <c r="P320">
        <v>2</v>
      </c>
    </row>
    <row r="321" spans="1:16" x14ac:dyDescent="0.3">
      <c r="A321" t="s">
        <v>1081</v>
      </c>
      <c r="B321" t="s">
        <v>401</v>
      </c>
      <c r="C321" t="str">
        <f t="shared" si="8"/>
        <v>April</v>
      </c>
      <c r="D321">
        <f t="shared" si="9"/>
        <v>2024</v>
      </c>
      <c r="E321" t="s">
        <v>1082</v>
      </c>
      <c r="F321" t="s">
        <v>275</v>
      </c>
      <c r="G321" t="s">
        <v>46</v>
      </c>
      <c r="H321" t="s">
        <v>21</v>
      </c>
      <c r="I321" t="s">
        <v>22</v>
      </c>
      <c r="J321">
        <v>511</v>
      </c>
      <c r="K321">
        <v>5</v>
      </c>
      <c r="L321">
        <v>2555</v>
      </c>
      <c r="M321" t="s">
        <v>30</v>
      </c>
      <c r="N321" t="s">
        <v>24</v>
      </c>
      <c r="O321" t="s">
        <v>55</v>
      </c>
      <c r="P321">
        <v>15</v>
      </c>
    </row>
    <row r="322" spans="1:16" x14ac:dyDescent="0.3">
      <c r="A322" t="s">
        <v>1083</v>
      </c>
      <c r="B322" t="s">
        <v>360</v>
      </c>
      <c r="C322" t="str">
        <f t="shared" si="8"/>
        <v>June</v>
      </c>
      <c r="D322">
        <f t="shared" si="9"/>
        <v>2025</v>
      </c>
      <c r="E322" t="s">
        <v>361</v>
      </c>
      <c r="F322" t="s">
        <v>1084</v>
      </c>
      <c r="G322" t="s">
        <v>46</v>
      </c>
      <c r="H322" t="s">
        <v>21</v>
      </c>
      <c r="I322" t="s">
        <v>77</v>
      </c>
      <c r="J322">
        <v>1202</v>
      </c>
      <c r="K322">
        <v>2</v>
      </c>
      <c r="L322">
        <v>2404</v>
      </c>
      <c r="M322" t="s">
        <v>61</v>
      </c>
      <c r="N322" t="s">
        <v>24</v>
      </c>
      <c r="O322" t="s">
        <v>125</v>
      </c>
      <c r="P322">
        <v>6</v>
      </c>
    </row>
    <row r="323" spans="1:16" x14ac:dyDescent="0.3">
      <c r="A323" t="s">
        <v>1085</v>
      </c>
      <c r="B323" t="s">
        <v>461</v>
      </c>
      <c r="C323" t="str">
        <f t="shared" ref="C323:C386" si="10">TEXT(B323,"MMMM")</f>
        <v>February</v>
      </c>
      <c r="D323">
        <f t="shared" ref="D323:D386" si="11">YEAR(B323)</f>
        <v>2025</v>
      </c>
      <c r="E323" t="s">
        <v>890</v>
      </c>
      <c r="F323" t="s">
        <v>202</v>
      </c>
      <c r="G323" t="s">
        <v>37</v>
      </c>
      <c r="H323" t="s">
        <v>38</v>
      </c>
      <c r="I323" t="s">
        <v>39</v>
      </c>
      <c r="J323">
        <v>748</v>
      </c>
      <c r="K323">
        <v>3</v>
      </c>
      <c r="L323">
        <v>2244</v>
      </c>
      <c r="M323" t="s">
        <v>138</v>
      </c>
      <c r="N323" t="s">
        <v>31</v>
      </c>
      <c r="O323" t="s">
        <v>32</v>
      </c>
      <c r="P323">
        <v>12</v>
      </c>
    </row>
    <row r="324" spans="1:16" x14ac:dyDescent="0.3">
      <c r="A324" t="s">
        <v>1086</v>
      </c>
      <c r="B324" t="s">
        <v>242</v>
      </c>
      <c r="C324" t="str">
        <f t="shared" si="10"/>
        <v>October</v>
      </c>
      <c r="D324">
        <f t="shared" si="11"/>
        <v>2024</v>
      </c>
      <c r="E324" t="s">
        <v>1087</v>
      </c>
      <c r="F324" t="s">
        <v>527</v>
      </c>
      <c r="G324" t="s">
        <v>20</v>
      </c>
      <c r="H324" t="s">
        <v>38</v>
      </c>
      <c r="I324" t="s">
        <v>47</v>
      </c>
      <c r="J324">
        <v>1432</v>
      </c>
      <c r="K324">
        <v>2</v>
      </c>
      <c r="L324">
        <v>2864</v>
      </c>
      <c r="M324" t="s">
        <v>30</v>
      </c>
      <c r="N324" t="s">
        <v>40</v>
      </c>
      <c r="O324" t="s">
        <v>41</v>
      </c>
      <c r="P324">
        <v>12</v>
      </c>
    </row>
    <row r="325" spans="1:16" x14ac:dyDescent="0.3">
      <c r="A325" t="s">
        <v>1088</v>
      </c>
      <c r="B325" t="s">
        <v>1089</v>
      </c>
      <c r="C325" t="str">
        <f t="shared" si="10"/>
        <v>May</v>
      </c>
      <c r="D325">
        <f t="shared" si="11"/>
        <v>2024</v>
      </c>
      <c r="E325" t="s">
        <v>590</v>
      </c>
      <c r="F325" t="s">
        <v>500</v>
      </c>
      <c r="G325" t="s">
        <v>46</v>
      </c>
      <c r="H325" t="s">
        <v>38</v>
      </c>
      <c r="I325" t="s">
        <v>130</v>
      </c>
      <c r="J325">
        <v>1234</v>
      </c>
      <c r="K325">
        <v>3</v>
      </c>
      <c r="L325">
        <v>3702</v>
      </c>
      <c r="M325" t="s">
        <v>23</v>
      </c>
      <c r="N325" t="s">
        <v>40</v>
      </c>
      <c r="O325" t="s">
        <v>41</v>
      </c>
      <c r="P325">
        <v>25</v>
      </c>
    </row>
    <row r="326" spans="1:16" x14ac:dyDescent="0.3">
      <c r="A326" t="s">
        <v>1090</v>
      </c>
      <c r="B326" t="s">
        <v>1091</v>
      </c>
      <c r="C326" t="str">
        <f t="shared" si="10"/>
        <v>October</v>
      </c>
      <c r="D326">
        <f t="shared" si="11"/>
        <v>2024</v>
      </c>
      <c r="E326" t="s">
        <v>372</v>
      </c>
      <c r="F326" t="s">
        <v>977</v>
      </c>
      <c r="G326" t="s">
        <v>46</v>
      </c>
      <c r="H326" t="s">
        <v>38</v>
      </c>
      <c r="I326" t="s">
        <v>325</v>
      </c>
      <c r="J326">
        <v>1354</v>
      </c>
      <c r="K326">
        <v>2</v>
      </c>
      <c r="L326">
        <v>2708</v>
      </c>
      <c r="M326" t="s">
        <v>54</v>
      </c>
      <c r="N326" t="s">
        <v>31</v>
      </c>
      <c r="O326" t="s">
        <v>62</v>
      </c>
      <c r="P326">
        <v>7</v>
      </c>
    </row>
    <row r="327" spans="1:16" x14ac:dyDescent="0.3">
      <c r="A327" t="s">
        <v>1092</v>
      </c>
      <c r="B327" t="s">
        <v>498</v>
      </c>
      <c r="C327" t="str">
        <f t="shared" si="10"/>
        <v>July</v>
      </c>
      <c r="D327">
        <f t="shared" si="11"/>
        <v>2025</v>
      </c>
      <c r="E327" t="s">
        <v>1093</v>
      </c>
      <c r="F327" t="s">
        <v>449</v>
      </c>
      <c r="G327" t="s">
        <v>37</v>
      </c>
      <c r="H327" t="s">
        <v>71</v>
      </c>
      <c r="I327" t="s">
        <v>83</v>
      </c>
      <c r="J327">
        <v>1403</v>
      </c>
      <c r="K327">
        <v>1</v>
      </c>
      <c r="L327">
        <v>1403</v>
      </c>
      <c r="M327" t="s">
        <v>61</v>
      </c>
      <c r="N327" t="s">
        <v>24</v>
      </c>
      <c r="O327" t="s">
        <v>62</v>
      </c>
      <c r="P327">
        <v>1</v>
      </c>
    </row>
    <row r="328" spans="1:16" x14ac:dyDescent="0.3">
      <c r="A328" t="s">
        <v>1094</v>
      </c>
      <c r="B328" t="s">
        <v>1095</v>
      </c>
      <c r="C328" t="str">
        <f t="shared" si="10"/>
        <v>May</v>
      </c>
      <c r="D328">
        <f t="shared" si="11"/>
        <v>2025</v>
      </c>
      <c r="E328" t="s">
        <v>1096</v>
      </c>
      <c r="F328" t="s">
        <v>1097</v>
      </c>
      <c r="G328" t="s">
        <v>46</v>
      </c>
      <c r="H328" t="s">
        <v>38</v>
      </c>
      <c r="I328" t="s">
        <v>325</v>
      </c>
      <c r="J328">
        <v>552</v>
      </c>
      <c r="K328">
        <v>1</v>
      </c>
      <c r="L328">
        <v>552</v>
      </c>
      <c r="M328" t="s">
        <v>61</v>
      </c>
      <c r="N328" t="s">
        <v>40</v>
      </c>
      <c r="O328" t="s">
        <v>84</v>
      </c>
      <c r="P328">
        <v>21</v>
      </c>
    </row>
    <row r="329" spans="1:16" x14ac:dyDescent="0.3">
      <c r="A329" t="s">
        <v>1098</v>
      </c>
      <c r="B329" t="s">
        <v>1099</v>
      </c>
      <c r="C329" t="str">
        <f t="shared" si="10"/>
        <v>June</v>
      </c>
      <c r="D329">
        <f t="shared" si="11"/>
        <v>2024</v>
      </c>
      <c r="E329" t="s">
        <v>1100</v>
      </c>
      <c r="F329" t="s">
        <v>1101</v>
      </c>
      <c r="G329" t="s">
        <v>37</v>
      </c>
      <c r="H329" t="s">
        <v>21</v>
      </c>
      <c r="I329" t="s">
        <v>53</v>
      </c>
      <c r="J329">
        <v>796</v>
      </c>
      <c r="K329">
        <v>3</v>
      </c>
      <c r="L329">
        <v>2388</v>
      </c>
      <c r="M329" t="s">
        <v>61</v>
      </c>
      <c r="N329" t="s">
        <v>31</v>
      </c>
      <c r="O329" t="s">
        <v>55</v>
      </c>
      <c r="P329">
        <v>19</v>
      </c>
    </row>
    <row r="330" spans="1:16" x14ac:dyDescent="0.3">
      <c r="A330" t="s">
        <v>1102</v>
      </c>
      <c r="B330" t="s">
        <v>1103</v>
      </c>
      <c r="C330" t="str">
        <f t="shared" si="10"/>
        <v>May</v>
      </c>
      <c r="D330">
        <f t="shared" si="11"/>
        <v>2024</v>
      </c>
      <c r="E330" t="s">
        <v>1104</v>
      </c>
      <c r="F330" t="s">
        <v>1105</v>
      </c>
      <c r="G330" t="s">
        <v>37</v>
      </c>
      <c r="H330" t="s">
        <v>21</v>
      </c>
      <c r="I330" t="s">
        <v>77</v>
      </c>
      <c r="J330">
        <v>1240</v>
      </c>
      <c r="K330">
        <v>1</v>
      </c>
      <c r="L330">
        <v>1240</v>
      </c>
      <c r="M330" t="s">
        <v>61</v>
      </c>
      <c r="N330" t="s">
        <v>40</v>
      </c>
      <c r="O330" t="s">
        <v>125</v>
      </c>
      <c r="P330">
        <v>15</v>
      </c>
    </row>
    <row r="331" spans="1:16" x14ac:dyDescent="0.3">
      <c r="A331" t="s">
        <v>1106</v>
      </c>
      <c r="B331" t="s">
        <v>1107</v>
      </c>
      <c r="C331" t="str">
        <f t="shared" si="10"/>
        <v>September</v>
      </c>
      <c r="D331">
        <f t="shared" si="11"/>
        <v>2024</v>
      </c>
      <c r="E331" t="s">
        <v>1108</v>
      </c>
      <c r="F331" t="s">
        <v>636</v>
      </c>
      <c r="G331" t="s">
        <v>46</v>
      </c>
      <c r="H331" t="s">
        <v>38</v>
      </c>
      <c r="I331" t="s">
        <v>47</v>
      </c>
      <c r="J331">
        <v>738</v>
      </c>
      <c r="K331">
        <v>1</v>
      </c>
      <c r="L331">
        <v>738</v>
      </c>
      <c r="M331" t="s">
        <v>54</v>
      </c>
      <c r="N331" t="s">
        <v>48</v>
      </c>
      <c r="O331" t="s">
        <v>125</v>
      </c>
      <c r="P331">
        <v>3</v>
      </c>
    </row>
    <row r="332" spans="1:16" x14ac:dyDescent="0.3">
      <c r="A332" t="s">
        <v>1109</v>
      </c>
      <c r="B332" t="s">
        <v>1110</v>
      </c>
      <c r="C332" t="str">
        <f t="shared" si="10"/>
        <v>August</v>
      </c>
      <c r="D332">
        <f t="shared" si="11"/>
        <v>2025</v>
      </c>
      <c r="E332" t="s">
        <v>774</v>
      </c>
      <c r="F332" t="s">
        <v>267</v>
      </c>
      <c r="G332" t="s">
        <v>37</v>
      </c>
      <c r="H332" t="s">
        <v>38</v>
      </c>
      <c r="I332" t="s">
        <v>39</v>
      </c>
      <c r="J332">
        <v>782</v>
      </c>
      <c r="K332">
        <v>3</v>
      </c>
      <c r="L332">
        <v>2346</v>
      </c>
      <c r="M332" t="s">
        <v>30</v>
      </c>
      <c r="N332" t="s">
        <v>31</v>
      </c>
      <c r="O332" t="s">
        <v>55</v>
      </c>
      <c r="P332">
        <v>20</v>
      </c>
    </row>
    <row r="333" spans="1:16" x14ac:dyDescent="0.3">
      <c r="A333" t="s">
        <v>1111</v>
      </c>
      <c r="B333" t="s">
        <v>1112</v>
      </c>
      <c r="C333" t="str">
        <f t="shared" si="10"/>
        <v>October</v>
      </c>
      <c r="D333">
        <f t="shared" si="11"/>
        <v>2024</v>
      </c>
      <c r="E333" t="s">
        <v>1113</v>
      </c>
      <c r="F333" t="s">
        <v>995</v>
      </c>
      <c r="G333" t="s">
        <v>37</v>
      </c>
      <c r="H333" t="s">
        <v>21</v>
      </c>
      <c r="I333" t="s">
        <v>53</v>
      </c>
      <c r="J333">
        <v>301</v>
      </c>
      <c r="K333">
        <v>4</v>
      </c>
      <c r="L333">
        <v>1204</v>
      </c>
      <c r="M333" t="s">
        <v>61</v>
      </c>
      <c r="N333" t="s">
        <v>31</v>
      </c>
      <c r="O333" t="s">
        <v>41</v>
      </c>
      <c r="P333">
        <v>16</v>
      </c>
    </row>
    <row r="334" spans="1:16" x14ac:dyDescent="0.3">
      <c r="A334" t="s">
        <v>1114</v>
      </c>
      <c r="B334" t="s">
        <v>1115</v>
      </c>
      <c r="C334" t="str">
        <f t="shared" si="10"/>
        <v>September</v>
      </c>
      <c r="D334">
        <f t="shared" si="11"/>
        <v>2024</v>
      </c>
      <c r="E334" t="s">
        <v>1116</v>
      </c>
      <c r="F334" t="s">
        <v>1048</v>
      </c>
      <c r="G334" t="s">
        <v>20</v>
      </c>
      <c r="H334" t="s">
        <v>71</v>
      </c>
      <c r="I334" t="s">
        <v>72</v>
      </c>
      <c r="J334">
        <v>451</v>
      </c>
      <c r="K334">
        <v>5</v>
      </c>
      <c r="L334">
        <v>2255</v>
      </c>
      <c r="M334" t="s">
        <v>61</v>
      </c>
      <c r="N334" t="s">
        <v>48</v>
      </c>
      <c r="O334" t="s">
        <v>84</v>
      </c>
      <c r="P334">
        <v>8</v>
      </c>
    </row>
    <row r="335" spans="1:16" x14ac:dyDescent="0.3">
      <c r="A335" t="s">
        <v>1117</v>
      </c>
      <c r="B335" t="s">
        <v>1118</v>
      </c>
      <c r="C335" t="str">
        <f t="shared" si="10"/>
        <v>May</v>
      </c>
      <c r="D335">
        <f t="shared" si="11"/>
        <v>2025</v>
      </c>
      <c r="E335" t="s">
        <v>1054</v>
      </c>
      <c r="F335" t="s">
        <v>365</v>
      </c>
      <c r="G335" t="s">
        <v>37</v>
      </c>
      <c r="H335" t="s">
        <v>38</v>
      </c>
      <c r="I335" t="s">
        <v>47</v>
      </c>
      <c r="J335">
        <v>1332</v>
      </c>
      <c r="K335">
        <v>3</v>
      </c>
      <c r="L335">
        <v>3996</v>
      </c>
      <c r="M335" t="s">
        <v>61</v>
      </c>
      <c r="N335" t="s">
        <v>40</v>
      </c>
      <c r="O335" t="s">
        <v>62</v>
      </c>
      <c r="P335">
        <v>13</v>
      </c>
    </row>
    <row r="336" spans="1:16" x14ac:dyDescent="0.3">
      <c r="A336" t="s">
        <v>1119</v>
      </c>
      <c r="B336" t="s">
        <v>505</v>
      </c>
      <c r="C336" t="str">
        <f t="shared" si="10"/>
        <v>August</v>
      </c>
      <c r="D336">
        <f t="shared" si="11"/>
        <v>2025</v>
      </c>
      <c r="E336" t="s">
        <v>1120</v>
      </c>
      <c r="F336" t="s">
        <v>1121</v>
      </c>
      <c r="G336" t="s">
        <v>20</v>
      </c>
      <c r="H336" t="s">
        <v>21</v>
      </c>
      <c r="I336" t="s">
        <v>22</v>
      </c>
      <c r="J336">
        <v>988</v>
      </c>
      <c r="K336">
        <v>1</v>
      </c>
      <c r="L336">
        <v>988</v>
      </c>
      <c r="M336" t="s">
        <v>23</v>
      </c>
      <c r="N336" t="s">
        <v>40</v>
      </c>
      <c r="O336" t="s">
        <v>78</v>
      </c>
      <c r="P336">
        <v>30</v>
      </c>
    </row>
    <row r="337" spans="1:16" x14ac:dyDescent="0.3">
      <c r="A337" t="s">
        <v>1122</v>
      </c>
      <c r="B337" t="s">
        <v>1123</v>
      </c>
      <c r="C337" t="str">
        <f t="shared" si="10"/>
        <v>February</v>
      </c>
      <c r="D337">
        <f t="shared" si="11"/>
        <v>2024</v>
      </c>
      <c r="E337" t="s">
        <v>182</v>
      </c>
      <c r="F337" t="s">
        <v>412</v>
      </c>
      <c r="G337" t="s">
        <v>46</v>
      </c>
      <c r="H337" t="s">
        <v>71</v>
      </c>
      <c r="I337" t="s">
        <v>119</v>
      </c>
      <c r="J337">
        <v>1418</v>
      </c>
      <c r="K337">
        <v>1</v>
      </c>
      <c r="L337">
        <v>1418</v>
      </c>
      <c r="M337" t="s">
        <v>61</v>
      </c>
      <c r="N337" t="s">
        <v>24</v>
      </c>
      <c r="O337" t="s">
        <v>25</v>
      </c>
      <c r="P337">
        <v>16</v>
      </c>
    </row>
    <row r="338" spans="1:16" x14ac:dyDescent="0.3">
      <c r="A338" t="s">
        <v>1124</v>
      </c>
      <c r="B338" t="s">
        <v>428</v>
      </c>
      <c r="C338" t="str">
        <f t="shared" si="10"/>
        <v>March</v>
      </c>
      <c r="D338">
        <f t="shared" si="11"/>
        <v>2025</v>
      </c>
      <c r="E338" t="s">
        <v>1125</v>
      </c>
      <c r="F338" t="s">
        <v>1126</v>
      </c>
      <c r="G338" t="s">
        <v>46</v>
      </c>
      <c r="H338" t="s">
        <v>71</v>
      </c>
      <c r="I338" t="s">
        <v>124</v>
      </c>
      <c r="J338">
        <v>273</v>
      </c>
      <c r="K338">
        <v>1</v>
      </c>
      <c r="L338">
        <v>273</v>
      </c>
      <c r="M338" t="s">
        <v>54</v>
      </c>
      <c r="N338" t="s">
        <v>31</v>
      </c>
      <c r="O338" t="s">
        <v>62</v>
      </c>
      <c r="P338">
        <v>0</v>
      </c>
    </row>
    <row r="339" spans="1:16" x14ac:dyDescent="0.3">
      <c r="A339" t="s">
        <v>1127</v>
      </c>
      <c r="B339" t="s">
        <v>797</v>
      </c>
      <c r="C339" t="str">
        <f t="shared" si="10"/>
        <v>September</v>
      </c>
      <c r="D339">
        <f t="shared" si="11"/>
        <v>2024</v>
      </c>
      <c r="E339" t="s">
        <v>1128</v>
      </c>
      <c r="F339" t="s">
        <v>1129</v>
      </c>
      <c r="G339" t="s">
        <v>46</v>
      </c>
      <c r="H339" t="s">
        <v>71</v>
      </c>
      <c r="I339" t="s">
        <v>119</v>
      </c>
      <c r="J339">
        <v>619</v>
      </c>
      <c r="K339">
        <v>5</v>
      </c>
      <c r="L339">
        <v>3095</v>
      </c>
      <c r="M339" t="s">
        <v>54</v>
      </c>
      <c r="N339" t="s">
        <v>48</v>
      </c>
      <c r="O339" t="s">
        <v>84</v>
      </c>
      <c r="P339">
        <v>19</v>
      </c>
    </row>
    <row r="340" spans="1:16" x14ac:dyDescent="0.3">
      <c r="A340" t="s">
        <v>1130</v>
      </c>
      <c r="B340" t="s">
        <v>928</v>
      </c>
      <c r="C340" t="str">
        <f t="shared" si="10"/>
        <v>May</v>
      </c>
      <c r="D340">
        <f t="shared" si="11"/>
        <v>2024</v>
      </c>
      <c r="E340" t="s">
        <v>1131</v>
      </c>
      <c r="F340" t="s">
        <v>1084</v>
      </c>
      <c r="G340" t="s">
        <v>46</v>
      </c>
      <c r="H340" t="s">
        <v>21</v>
      </c>
      <c r="I340" t="s">
        <v>22</v>
      </c>
      <c r="J340">
        <v>800</v>
      </c>
      <c r="K340">
        <v>1</v>
      </c>
      <c r="L340">
        <v>800</v>
      </c>
      <c r="M340" t="s">
        <v>23</v>
      </c>
      <c r="N340" t="s">
        <v>31</v>
      </c>
      <c r="O340" t="s">
        <v>62</v>
      </c>
      <c r="P340">
        <v>25</v>
      </c>
    </row>
    <row r="341" spans="1:16" x14ac:dyDescent="0.3">
      <c r="A341" t="s">
        <v>1132</v>
      </c>
      <c r="B341" t="s">
        <v>1133</v>
      </c>
      <c r="C341" t="str">
        <f t="shared" si="10"/>
        <v>July</v>
      </c>
      <c r="D341">
        <f t="shared" si="11"/>
        <v>2025</v>
      </c>
      <c r="E341" t="s">
        <v>1134</v>
      </c>
      <c r="F341" t="s">
        <v>1135</v>
      </c>
      <c r="G341" t="s">
        <v>37</v>
      </c>
      <c r="H341" t="s">
        <v>71</v>
      </c>
      <c r="I341" t="s">
        <v>96</v>
      </c>
      <c r="J341">
        <v>1269</v>
      </c>
      <c r="K341">
        <v>1</v>
      </c>
      <c r="L341">
        <v>1269</v>
      </c>
      <c r="M341" t="s">
        <v>61</v>
      </c>
      <c r="N341" t="s">
        <v>48</v>
      </c>
      <c r="O341" t="s">
        <v>125</v>
      </c>
      <c r="P341">
        <v>21</v>
      </c>
    </row>
    <row r="342" spans="1:16" x14ac:dyDescent="0.3">
      <c r="A342" t="s">
        <v>1136</v>
      </c>
      <c r="B342" t="s">
        <v>1137</v>
      </c>
      <c r="C342" t="str">
        <f t="shared" si="10"/>
        <v>July</v>
      </c>
      <c r="D342">
        <f t="shared" si="11"/>
        <v>2025</v>
      </c>
      <c r="E342" t="s">
        <v>1138</v>
      </c>
      <c r="F342" t="s">
        <v>1139</v>
      </c>
      <c r="G342" t="s">
        <v>46</v>
      </c>
      <c r="H342" t="s">
        <v>71</v>
      </c>
      <c r="I342" t="s">
        <v>96</v>
      </c>
      <c r="J342">
        <v>875</v>
      </c>
      <c r="K342">
        <v>3</v>
      </c>
      <c r="L342">
        <v>2625</v>
      </c>
      <c r="M342" t="s">
        <v>54</v>
      </c>
      <c r="N342" t="s">
        <v>40</v>
      </c>
      <c r="O342" t="s">
        <v>78</v>
      </c>
      <c r="P342">
        <v>27</v>
      </c>
    </row>
    <row r="343" spans="1:16" x14ac:dyDescent="0.3">
      <c r="A343" t="s">
        <v>1140</v>
      </c>
      <c r="B343" t="s">
        <v>127</v>
      </c>
      <c r="C343" t="str">
        <f t="shared" si="10"/>
        <v>April</v>
      </c>
      <c r="D343">
        <f t="shared" si="11"/>
        <v>2024</v>
      </c>
      <c r="E343" t="s">
        <v>1141</v>
      </c>
      <c r="F343" t="s">
        <v>475</v>
      </c>
      <c r="G343" t="s">
        <v>37</v>
      </c>
      <c r="H343" t="s">
        <v>71</v>
      </c>
      <c r="I343" t="s">
        <v>96</v>
      </c>
      <c r="J343">
        <v>1049</v>
      </c>
      <c r="K343">
        <v>4</v>
      </c>
      <c r="L343">
        <v>4196</v>
      </c>
      <c r="M343" t="s">
        <v>30</v>
      </c>
      <c r="N343" t="s">
        <v>24</v>
      </c>
      <c r="O343" t="s">
        <v>78</v>
      </c>
      <c r="P343">
        <v>0</v>
      </c>
    </row>
    <row r="344" spans="1:16" x14ac:dyDescent="0.3">
      <c r="A344" t="s">
        <v>1142</v>
      </c>
      <c r="B344" t="s">
        <v>1143</v>
      </c>
      <c r="C344" t="str">
        <f t="shared" si="10"/>
        <v>November</v>
      </c>
      <c r="D344">
        <f t="shared" si="11"/>
        <v>2024</v>
      </c>
      <c r="E344" t="s">
        <v>1144</v>
      </c>
      <c r="F344" t="s">
        <v>238</v>
      </c>
      <c r="G344" t="s">
        <v>46</v>
      </c>
      <c r="H344" t="s">
        <v>71</v>
      </c>
      <c r="I344" t="s">
        <v>119</v>
      </c>
      <c r="J344">
        <v>369</v>
      </c>
      <c r="K344">
        <v>1</v>
      </c>
      <c r="L344">
        <v>369</v>
      </c>
      <c r="M344" t="s">
        <v>23</v>
      </c>
      <c r="N344" t="s">
        <v>48</v>
      </c>
      <c r="O344" t="s">
        <v>84</v>
      </c>
      <c r="P344">
        <v>17</v>
      </c>
    </row>
    <row r="345" spans="1:16" x14ac:dyDescent="0.3">
      <c r="A345" t="s">
        <v>1145</v>
      </c>
      <c r="B345" t="s">
        <v>269</v>
      </c>
      <c r="C345" t="str">
        <f t="shared" si="10"/>
        <v>July</v>
      </c>
      <c r="D345">
        <f t="shared" si="11"/>
        <v>2025</v>
      </c>
      <c r="E345" t="s">
        <v>693</v>
      </c>
      <c r="F345" t="s">
        <v>248</v>
      </c>
      <c r="G345" t="s">
        <v>37</v>
      </c>
      <c r="H345" t="s">
        <v>21</v>
      </c>
      <c r="I345" t="s">
        <v>53</v>
      </c>
      <c r="J345">
        <v>1345</v>
      </c>
      <c r="K345">
        <v>5</v>
      </c>
      <c r="L345">
        <v>6725</v>
      </c>
      <c r="M345" t="s">
        <v>138</v>
      </c>
      <c r="N345" t="s">
        <v>40</v>
      </c>
      <c r="O345" t="s">
        <v>78</v>
      </c>
      <c r="P345">
        <v>23</v>
      </c>
    </row>
    <row r="346" spans="1:16" x14ac:dyDescent="0.3">
      <c r="A346" t="s">
        <v>1146</v>
      </c>
      <c r="B346" t="s">
        <v>1061</v>
      </c>
      <c r="C346" t="str">
        <f t="shared" si="10"/>
        <v>June</v>
      </c>
      <c r="D346">
        <f t="shared" si="11"/>
        <v>2025</v>
      </c>
      <c r="E346" t="s">
        <v>1147</v>
      </c>
      <c r="F346" t="s">
        <v>682</v>
      </c>
      <c r="G346" t="s">
        <v>20</v>
      </c>
      <c r="H346" t="s">
        <v>21</v>
      </c>
      <c r="I346" t="s">
        <v>109</v>
      </c>
      <c r="J346">
        <v>517</v>
      </c>
      <c r="K346">
        <v>3</v>
      </c>
      <c r="L346">
        <v>1551</v>
      </c>
      <c r="M346" t="s">
        <v>54</v>
      </c>
      <c r="N346" t="s">
        <v>48</v>
      </c>
      <c r="O346" t="s">
        <v>32</v>
      </c>
      <c r="P346">
        <v>1</v>
      </c>
    </row>
    <row r="347" spans="1:16" x14ac:dyDescent="0.3">
      <c r="A347" t="s">
        <v>1148</v>
      </c>
      <c r="B347" t="s">
        <v>1149</v>
      </c>
      <c r="C347" t="str">
        <f t="shared" si="10"/>
        <v>July</v>
      </c>
      <c r="D347">
        <f t="shared" si="11"/>
        <v>2024</v>
      </c>
      <c r="E347" t="s">
        <v>1150</v>
      </c>
      <c r="F347" t="s">
        <v>339</v>
      </c>
      <c r="G347" t="s">
        <v>37</v>
      </c>
      <c r="H347" t="s">
        <v>21</v>
      </c>
      <c r="I347" t="s">
        <v>53</v>
      </c>
      <c r="J347">
        <v>864</v>
      </c>
      <c r="K347">
        <v>2</v>
      </c>
      <c r="L347">
        <v>1728</v>
      </c>
      <c r="M347" t="s">
        <v>54</v>
      </c>
      <c r="N347" t="s">
        <v>48</v>
      </c>
      <c r="O347" t="s">
        <v>55</v>
      </c>
      <c r="P347">
        <v>30</v>
      </c>
    </row>
    <row r="348" spans="1:16" x14ac:dyDescent="0.3">
      <c r="A348" t="s">
        <v>1151</v>
      </c>
      <c r="B348" t="s">
        <v>1152</v>
      </c>
      <c r="C348" t="str">
        <f t="shared" si="10"/>
        <v>April</v>
      </c>
      <c r="D348">
        <f t="shared" si="11"/>
        <v>2024</v>
      </c>
      <c r="E348" t="s">
        <v>1153</v>
      </c>
      <c r="F348" t="s">
        <v>298</v>
      </c>
      <c r="G348" t="s">
        <v>20</v>
      </c>
      <c r="H348" t="s">
        <v>71</v>
      </c>
      <c r="I348" t="s">
        <v>124</v>
      </c>
      <c r="J348">
        <v>938</v>
      </c>
      <c r="K348">
        <v>5</v>
      </c>
      <c r="L348">
        <v>4690</v>
      </c>
      <c r="M348" t="s">
        <v>138</v>
      </c>
      <c r="N348" t="s">
        <v>31</v>
      </c>
      <c r="O348" t="s">
        <v>55</v>
      </c>
      <c r="P348">
        <v>11</v>
      </c>
    </row>
    <row r="349" spans="1:16" x14ac:dyDescent="0.3">
      <c r="A349" t="s">
        <v>1154</v>
      </c>
      <c r="B349" t="s">
        <v>1155</v>
      </c>
      <c r="C349" t="str">
        <f t="shared" si="10"/>
        <v>December</v>
      </c>
      <c r="D349">
        <f t="shared" si="11"/>
        <v>2024</v>
      </c>
      <c r="E349" t="s">
        <v>1156</v>
      </c>
      <c r="F349" t="s">
        <v>1157</v>
      </c>
      <c r="G349" t="s">
        <v>20</v>
      </c>
      <c r="H349" t="s">
        <v>38</v>
      </c>
      <c r="I349" t="s">
        <v>47</v>
      </c>
      <c r="J349">
        <v>712</v>
      </c>
      <c r="K349">
        <v>4</v>
      </c>
      <c r="L349">
        <v>2848</v>
      </c>
      <c r="M349" t="s">
        <v>138</v>
      </c>
      <c r="N349" t="s">
        <v>48</v>
      </c>
      <c r="O349" t="s">
        <v>25</v>
      </c>
      <c r="P349">
        <v>2</v>
      </c>
    </row>
    <row r="350" spans="1:16" x14ac:dyDescent="0.3">
      <c r="A350" t="s">
        <v>1158</v>
      </c>
      <c r="B350" t="s">
        <v>1073</v>
      </c>
      <c r="C350" t="str">
        <f t="shared" si="10"/>
        <v>August</v>
      </c>
      <c r="D350">
        <f t="shared" si="11"/>
        <v>2025</v>
      </c>
      <c r="E350" t="s">
        <v>1159</v>
      </c>
      <c r="F350" t="s">
        <v>1160</v>
      </c>
      <c r="G350" t="s">
        <v>46</v>
      </c>
      <c r="H350" t="s">
        <v>38</v>
      </c>
      <c r="I350" t="s">
        <v>47</v>
      </c>
      <c r="J350">
        <v>518</v>
      </c>
      <c r="K350">
        <v>2</v>
      </c>
      <c r="L350">
        <v>1036</v>
      </c>
      <c r="M350" t="s">
        <v>30</v>
      </c>
      <c r="N350" t="s">
        <v>31</v>
      </c>
      <c r="O350" t="s">
        <v>32</v>
      </c>
      <c r="P350">
        <v>4</v>
      </c>
    </row>
    <row r="351" spans="1:16" x14ac:dyDescent="0.3">
      <c r="A351" t="s">
        <v>1161</v>
      </c>
      <c r="B351" t="s">
        <v>874</v>
      </c>
      <c r="C351" t="str">
        <f t="shared" si="10"/>
        <v>June</v>
      </c>
      <c r="D351">
        <f t="shared" si="11"/>
        <v>2024</v>
      </c>
      <c r="E351" t="s">
        <v>1162</v>
      </c>
      <c r="F351" t="s">
        <v>309</v>
      </c>
      <c r="G351" t="s">
        <v>46</v>
      </c>
      <c r="H351" t="s">
        <v>21</v>
      </c>
      <c r="I351" t="s">
        <v>77</v>
      </c>
      <c r="J351">
        <v>933</v>
      </c>
      <c r="K351">
        <v>4</v>
      </c>
      <c r="L351">
        <v>3732</v>
      </c>
      <c r="M351" t="s">
        <v>23</v>
      </c>
      <c r="N351" t="s">
        <v>48</v>
      </c>
      <c r="O351" t="s">
        <v>25</v>
      </c>
      <c r="P351">
        <v>15</v>
      </c>
    </row>
    <row r="352" spans="1:16" x14ac:dyDescent="0.3">
      <c r="A352" t="s">
        <v>1163</v>
      </c>
      <c r="B352" t="s">
        <v>1164</v>
      </c>
      <c r="C352" t="str">
        <f t="shared" si="10"/>
        <v>October</v>
      </c>
      <c r="D352">
        <f t="shared" si="11"/>
        <v>2024</v>
      </c>
      <c r="E352" t="s">
        <v>1018</v>
      </c>
      <c r="F352" t="s">
        <v>568</v>
      </c>
      <c r="G352" t="s">
        <v>37</v>
      </c>
      <c r="H352" t="s">
        <v>38</v>
      </c>
      <c r="I352" t="s">
        <v>47</v>
      </c>
      <c r="J352">
        <v>1137</v>
      </c>
      <c r="K352">
        <v>3</v>
      </c>
      <c r="L352">
        <v>3411</v>
      </c>
      <c r="M352" t="s">
        <v>138</v>
      </c>
      <c r="N352" t="s">
        <v>31</v>
      </c>
      <c r="O352" t="s">
        <v>125</v>
      </c>
      <c r="P352">
        <v>10</v>
      </c>
    </row>
    <row r="353" spans="1:16" x14ac:dyDescent="0.3">
      <c r="A353" t="s">
        <v>1165</v>
      </c>
      <c r="B353" t="s">
        <v>224</v>
      </c>
      <c r="C353" t="str">
        <f t="shared" si="10"/>
        <v>June</v>
      </c>
      <c r="D353">
        <f t="shared" si="11"/>
        <v>2024</v>
      </c>
      <c r="E353" t="s">
        <v>1166</v>
      </c>
      <c r="F353" t="s">
        <v>1167</v>
      </c>
      <c r="G353" t="s">
        <v>46</v>
      </c>
      <c r="H353" t="s">
        <v>38</v>
      </c>
      <c r="I353" t="s">
        <v>39</v>
      </c>
      <c r="J353">
        <v>570</v>
      </c>
      <c r="K353">
        <v>5</v>
      </c>
      <c r="L353">
        <v>2850</v>
      </c>
      <c r="M353" t="s">
        <v>61</v>
      </c>
      <c r="N353" t="s">
        <v>40</v>
      </c>
      <c r="O353" t="s">
        <v>25</v>
      </c>
      <c r="P353">
        <v>13</v>
      </c>
    </row>
    <row r="354" spans="1:16" x14ac:dyDescent="0.3">
      <c r="A354" t="s">
        <v>1168</v>
      </c>
      <c r="B354" t="s">
        <v>1169</v>
      </c>
      <c r="C354" t="str">
        <f t="shared" si="10"/>
        <v>March</v>
      </c>
      <c r="D354">
        <f t="shared" si="11"/>
        <v>2025</v>
      </c>
      <c r="E354" t="s">
        <v>1170</v>
      </c>
      <c r="F354" t="s">
        <v>1171</v>
      </c>
      <c r="G354" t="s">
        <v>46</v>
      </c>
      <c r="H354" t="s">
        <v>38</v>
      </c>
      <c r="I354" t="s">
        <v>325</v>
      </c>
      <c r="J354">
        <v>930</v>
      </c>
      <c r="K354">
        <v>3</v>
      </c>
      <c r="L354">
        <v>2790</v>
      </c>
      <c r="M354" t="s">
        <v>23</v>
      </c>
      <c r="N354" t="s">
        <v>40</v>
      </c>
      <c r="O354" t="s">
        <v>32</v>
      </c>
      <c r="P354">
        <v>8</v>
      </c>
    </row>
    <row r="355" spans="1:16" x14ac:dyDescent="0.3">
      <c r="A355" t="s">
        <v>1172</v>
      </c>
      <c r="B355" t="s">
        <v>535</v>
      </c>
      <c r="C355" t="str">
        <f t="shared" si="10"/>
        <v>January</v>
      </c>
      <c r="D355">
        <f t="shared" si="11"/>
        <v>2025</v>
      </c>
      <c r="E355" t="s">
        <v>455</v>
      </c>
      <c r="F355" t="s">
        <v>206</v>
      </c>
      <c r="G355" t="s">
        <v>20</v>
      </c>
      <c r="H355" t="s">
        <v>21</v>
      </c>
      <c r="I355" t="s">
        <v>77</v>
      </c>
      <c r="J355">
        <v>1211</v>
      </c>
      <c r="K355">
        <v>4</v>
      </c>
      <c r="L355">
        <v>4844</v>
      </c>
      <c r="M355" t="s">
        <v>23</v>
      </c>
      <c r="N355" t="s">
        <v>40</v>
      </c>
      <c r="O355" t="s">
        <v>32</v>
      </c>
      <c r="P355">
        <v>14</v>
      </c>
    </row>
    <row r="356" spans="1:16" x14ac:dyDescent="0.3">
      <c r="A356" t="s">
        <v>1173</v>
      </c>
      <c r="B356" t="s">
        <v>1174</v>
      </c>
      <c r="C356" t="str">
        <f t="shared" si="10"/>
        <v>May</v>
      </c>
      <c r="D356">
        <f t="shared" si="11"/>
        <v>2025</v>
      </c>
      <c r="E356" t="s">
        <v>886</v>
      </c>
      <c r="F356" t="s">
        <v>736</v>
      </c>
      <c r="G356" t="s">
        <v>37</v>
      </c>
      <c r="H356" t="s">
        <v>71</v>
      </c>
      <c r="I356" t="s">
        <v>83</v>
      </c>
      <c r="J356">
        <v>1439</v>
      </c>
      <c r="K356">
        <v>4</v>
      </c>
      <c r="L356">
        <v>5756</v>
      </c>
      <c r="M356" t="s">
        <v>54</v>
      </c>
      <c r="N356" t="s">
        <v>31</v>
      </c>
      <c r="O356" t="s">
        <v>25</v>
      </c>
      <c r="P356">
        <v>20</v>
      </c>
    </row>
    <row r="357" spans="1:16" x14ac:dyDescent="0.3">
      <c r="A357" t="s">
        <v>1175</v>
      </c>
      <c r="B357" t="s">
        <v>102</v>
      </c>
      <c r="C357" t="str">
        <f t="shared" si="10"/>
        <v>July</v>
      </c>
      <c r="D357">
        <f t="shared" si="11"/>
        <v>2024</v>
      </c>
      <c r="E357" t="s">
        <v>1176</v>
      </c>
      <c r="F357" t="s">
        <v>1177</v>
      </c>
      <c r="G357" t="s">
        <v>37</v>
      </c>
      <c r="H357" t="s">
        <v>71</v>
      </c>
      <c r="I357" t="s">
        <v>119</v>
      </c>
      <c r="J357">
        <v>578</v>
      </c>
      <c r="K357">
        <v>5</v>
      </c>
      <c r="L357">
        <v>2890</v>
      </c>
      <c r="M357" t="s">
        <v>23</v>
      </c>
      <c r="N357" t="s">
        <v>31</v>
      </c>
      <c r="O357" t="s">
        <v>62</v>
      </c>
      <c r="P357">
        <v>15</v>
      </c>
    </row>
    <row r="358" spans="1:16" x14ac:dyDescent="0.3">
      <c r="A358" t="s">
        <v>1178</v>
      </c>
      <c r="B358" t="s">
        <v>1179</v>
      </c>
      <c r="C358" t="str">
        <f t="shared" si="10"/>
        <v>January</v>
      </c>
      <c r="D358">
        <f t="shared" si="11"/>
        <v>2025</v>
      </c>
      <c r="E358" t="s">
        <v>1180</v>
      </c>
      <c r="F358" t="s">
        <v>619</v>
      </c>
      <c r="G358" t="s">
        <v>20</v>
      </c>
      <c r="H358" t="s">
        <v>21</v>
      </c>
      <c r="I358" t="s">
        <v>53</v>
      </c>
      <c r="J358">
        <v>882</v>
      </c>
      <c r="K358">
        <v>5</v>
      </c>
      <c r="L358">
        <v>4410</v>
      </c>
      <c r="M358" t="s">
        <v>61</v>
      </c>
      <c r="N358" t="s">
        <v>31</v>
      </c>
      <c r="O358" t="s">
        <v>32</v>
      </c>
      <c r="P358">
        <v>24</v>
      </c>
    </row>
    <row r="359" spans="1:16" x14ac:dyDescent="0.3">
      <c r="A359" t="s">
        <v>1181</v>
      </c>
      <c r="B359" t="s">
        <v>827</v>
      </c>
      <c r="C359" t="str">
        <f t="shared" si="10"/>
        <v>June</v>
      </c>
      <c r="D359">
        <f t="shared" si="11"/>
        <v>2025</v>
      </c>
      <c r="E359" t="s">
        <v>1182</v>
      </c>
      <c r="F359" t="s">
        <v>108</v>
      </c>
      <c r="G359" t="s">
        <v>37</v>
      </c>
      <c r="H359" t="s">
        <v>71</v>
      </c>
      <c r="I359" t="s">
        <v>119</v>
      </c>
      <c r="J359">
        <v>760</v>
      </c>
      <c r="K359">
        <v>1</v>
      </c>
      <c r="L359">
        <v>760</v>
      </c>
      <c r="M359" t="s">
        <v>61</v>
      </c>
      <c r="N359" t="s">
        <v>48</v>
      </c>
      <c r="O359" t="s">
        <v>55</v>
      </c>
      <c r="P359">
        <v>9</v>
      </c>
    </row>
    <row r="360" spans="1:16" x14ac:dyDescent="0.3">
      <c r="A360" t="s">
        <v>1183</v>
      </c>
      <c r="B360" t="s">
        <v>1184</v>
      </c>
      <c r="C360" t="str">
        <f t="shared" si="10"/>
        <v>May</v>
      </c>
      <c r="D360">
        <f t="shared" si="11"/>
        <v>2025</v>
      </c>
      <c r="E360" t="s">
        <v>1185</v>
      </c>
      <c r="F360" t="s">
        <v>66</v>
      </c>
      <c r="G360" t="s">
        <v>20</v>
      </c>
      <c r="H360" t="s">
        <v>38</v>
      </c>
      <c r="I360" t="s">
        <v>47</v>
      </c>
      <c r="J360">
        <v>1357</v>
      </c>
      <c r="K360">
        <v>3</v>
      </c>
      <c r="L360">
        <v>4071</v>
      </c>
      <c r="M360" t="s">
        <v>61</v>
      </c>
      <c r="N360" t="s">
        <v>31</v>
      </c>
      <c r="O360" t="s">
        <v>84</v>
      </c>
      <c r="P360">
        <v>11</v>
      </c>
    </row>
    <row r="361" spans="1:16" x14ac:dyDescent="0.3">
      <c r="A361" t="s">
        <v>1186</v>
      </c>
      <c r="B361" t="s">
        <v>1187</v>
      </c>
      <c r="C361" t="str">
        <f t="shared" si="10"/>
        <v>February</v>
      </c>
      <c r="D361">
        <f t="shared" si="11"/>
        <v>2025</v>
      </c>
      <c r="E361" t="s">
        <v>1188</v>
      </c>
      <c r="F361" t="s">
        <v>1000</v>
      </c>
      <c r="G361" t="s">
        <v>37</v>
      </c>
      <c r="H361" t="s">
        <v>71</v>
      </c>
      <c r="I361" t="s">
        <v>72</v>
      </c>
      <c r="J361">
        <v>240</v>
      </c>
      <c r="K361">
        <v>3</v>
      </c>
      <c r="L361">
        <v>720</v>
      </c>
      <c r="M361" t="s">
        <v>138</v>
      </c>
      <c r="N361" t="s">
        <v>24</v>
      </c>
      <c r="O361" t="s">
        <v>41</v>
      </c>
      <c r="P361">
        <v>0</v>
      </c>
    </row>
    <row r="362" spans="1:16" x14ac:dyDescent="0.3">
      <c r="A362" t="s">
        <v>1189</v>
      </c>
      <c r="B362" t="s">
        <v>642</v>
      </c>
      <c r="C362" t="str">
        <f t="shared" si="10"/>
        <v>July</v>
      </c>
      <c r="D362">
        <f t="shared" si="11"/>
        <v>2025</v>
      </c>
      <c r="E362" t="s">
        <v>1190</v>
      </c>
      <c r="F362" t="s">
        <v>432</v>
      </c>
      <c r="G362" t="s">
        <v>46</v>
      </c>
      <c r="H362" t="s">
        <v>38</v>
      </c>
      <c r="I362" t="s">
        <v>325</v>
      </c>
      <c r="J362">
        <v>222</v>
      </c>
      <c r="K362">
        <v>3</v>
      </c>
      <c r="L362">
        <v>666</v>
      </c>
      <c r="M362" t="s">
        <v>138</v>
      </c>
      <c r="N362" t="s">
        <v>24</v>
      </c>
      <c r="O362" t="s">
        <v>25</v>
      </c>
      <c r="P362">
        <v>4</v>
      </c>
    </row>
    <row r="363" spans="1:16" x14ac:dyDescent="0.3">
      <c r="A363" t="s">
        <v>1191</v>
      </c>
      <c r="B363" t="s">
        <v>1192</v>
      </c>
      <c r="C363" t="str">
        <f t="shared" si="10"/>
        <v>May</v>
      </c>
      <c r="D363">
        <f t="shared" si="11"/>
        <v>2024</v>
      </c>
      <c r="E363" t="s">
        <v>1193</v>
      </c>
      <c r="F363" t="s">
        <v>482</v>
      </c>
      <c r="G363" t="s">
        <v>20</v>
      </c>
      <c r="H363" t="s">
        <v>71</v>
      </c>
      <c r="I363" t="s">
        <v>124</v>
      </c>
      <c r="J363">
        <v>857</v>
      </c>
      <c r="K363">
        <v>5</v>
      </c>
      <c r="L363">
        <v>4285</v>
      </c>
      <c r="M363" t="s">
        <v>61</v>
      </c>
      <c r="N363" t="s">
        <v>40</v>
      </c>
      <c r="O363" t="s">
        <v>84</v>
      </c>
      <c r="P363">
        <v>19</v>
      </c>
    </row>
    <row r="364" spans="1:16" x14ac:dyDescent="0.3">
      <c r="A364" t="s">
        <v>1194</v>
      </c>
      <c r="B364" t="s">
        <v>469</v>
      </c>
      <c r="C364" t="str">
        <f t="shared" si="10"/>
        <v>April</v>
      </c>
      <c r="D364">
        <f t="shared" si="11"/>
        <v>2025</v>
      </c>
      <c r="E364" t="s">
        <v>1195</v>
      </c>
      <c r="F364" t="s">
        <v>1196</v>
      </c>
      <c r="G364" t="s">
        <v>37</v>
      </c>
      <c r="H364" t="s">
        <v>71</v>
      </c>
      <c r="I364" t="s">
        <v>83</v>
      </c>
      <c r="J364">
        <v>872</v>
      </c>
      <c r="K364">
        <v>5</v>
      </c>
      <c r="L364">
        <v>4360</v>
      </c>
      <c r="M364" t="s">
        <v>23</v>
      </c>
      <c r="N364" t="s">
        <v>24</v>
      </c>
      <c r="O364" t="s">
        <v>25</v>
      </c>
      <c r="P364">
        <v>7</v>
      </c>
    </row>
    <row r="365" spans="1:16" x14ac:dyDescent="0.3">
      <c r="A365" t="s">
        <v>1197</v>
      </c>
      <c r="B365" t="s">
        <v>749</v>
      </c>
      <c r="C365" t="str">
        <f t="shared" si="10"/>
        <v>September</v>
      </c>
      <c r="D365">
        <f t="shared" si="11"/>
        <v>2024</v>
      </c>
      <c r="E365" t="s">
        <v>877</v>
      </c>
      <c r="F365" t="s">
        <v>1002</v>
      </c>
      <c r="G365" t="s">
        <v>37</v>
      </c>
      <c r="H365" t="s">
        <v>38</v>
      </c>
      <c r="I365" t="s">
        <v>47</v>
      </c>
      <c r="J365">
        <v>270</v>
      </c>
      <c r="K365">
        <v>4</v>
      </c>
      <c r="L365">
        <v>1080</v>
      </c>
      <c r="M365" t="s">
        <v>30</v>
      </c>
      <c r="N365" t="s">
        <v>31</v>
      </c>
      <c r="O365" t="s">
        <v>41</v>
      </c>
      <c r="P365">
        <v>18</v>
      </c>
    </row>
    <row r="366" spans="1:16" x14ac:dyDescent="0.3">
      <c r="A366" t="s">
        <v>1198</v>
      </c>
      <c r="B366" t="s">
        <v>1099</v>
      </c>
      <c r="C366" t="str">
        <f t="shared" si="10"/>
        <v>June</v>
      </c>
      <c r="D366">
        <f t="shared" si="11"/>
        <v>2024</v>
      </c>
      <c r="E366" t="s">
        <v>1078</v>
      </c>
      <c r="F366" t="s">
        <v>255</v>
      </c>
      <c r="G366" t="s">
        <v>20</v>
      </c>
      <c r="H366" t="s">
        <v>38</v>
      </c>
      <c r="I366" t="s">
        <v>39</v>
      </c>
      <c r="J366">
        <v>758</v>
      </c>
      <c r="K366">
        <v>2</v>
      </c>
      <c r="L366">
        <v>1516</v>
      </c>
      <c r="M366" t="s">
        <v>54</v>
      </c>
      <c r="N366" t="s">
        <v>40</v>
      </c>
      <c r="O366" t="s">
        <v>41</v>
      </c>
      <c r="P366">
        <v>27</v>
      </c>
    </row>
    <row r="367" spans="1:16" x14ac:dyDescent="0.3">
      <c r="A367" t="s">
        <v>1199</v>
      </c>
      <c r="B367" t="s">
        <v>1200</v>
      </c>
      <c r="C367" t="str">
        <f t="shared" si="10"/>
        <v>May</v>
      </c>
      <c r="D367">
        <f t="shared" si="11"/>
        <v>2024</v>
      </c>
      <c r="E367" t="s">
        <v>1201</v>
      </c>
      <c r="F367" t="s">
        <v>108</v>
      </c>
      <c r="G367" t="s">
        <v>37</v>
      </c>
      <c r="H367" t="s">
        <v>71</v>
      </c>
      <c r="I367" t="s">
        <v>72</v>
      </c>
      <c r="J367">
        <v>1191</v>
      </c>
      <c r="K367">
        <v>5</v>
      </c>
      <c r="L367">
        <v>5955</v>
      </c>
      <c r="M367" t="s">
        <v>138</v>
      </c>
      <c r="N367" t="s">
        <v>24</v>
      </c>
      <c r="O367" t="s">
        <v>84</v>
      </c>
      <c r="P367">
        <v>3</v>
      </c>
    </row>
    <row r="368" spans="1:16" x14ac:dyDescent="0.3">
      <c r="A368" t="s">
        <v>1202</v>
      </c>
      <c r="B368" t="s">
        <v>356</v>
      </c>
      <c r="C368" t="str">
        <f t="shared" si="10"/>
        <v>April</v>
      </c>
      <c r="D368">
        <f t="shared" si="11"/>
        <v>2024</v>
      </c>
      <c r="E368" t="s">
        <v>281</v>
      </c>
      <c r="F368" t="s">
        <v>510</v>
      </c>
      <c r="G368" t="s">
        <v>46</v>
      </c>
      <c r="H368" t="s">
        <v>38</v>
      </c>
      <c r="I368" t="s">
        <v>325</v>
      </c>
      <c r="J368">
        <v>235</v>
      </c>
      <c r="K368">
        <v>2</v>
      </c>
      <c r="L368">
        <v>470</v>
      </c>
      <c r="M368" t="s">
        <v>54</v>
      </c>
      <c r="N368" t="s">
        <v>31</v>
      </c>
      <c r="O368" t="s">
        <v>41</v>
      </c>
      <c r="P368">
        <v>28</v>
      </c>
    </row>
    <row r="369" spans="1:16" x14ac:dyDescent="0.3">
      <c r="A369" t="s">
        <v>1203</v>
      </c>
      <c r="B369" t="s">
        <v>1033</v>
      </c>
      <c r="C369" t="str">
        <f t="shared" si="10"/>
        <v>July</v>
      </c>
      <c r="D369">
        <f t="shared" si="11"/>
        <v>2025</v>
      </c>
      <c r="E369" t="s">
        <v>1058</v>
      </c>
      <c r="F369" t="s">
        <v>380</v>
      </c>
      <c r="G369" t="s">
        <v>37</v>
      </c>
      <c r="H369" t="s">
        <v>21</v>
      </c>
      <c r="I369" t="s">
        <v>114</v>
      </c>
      <c r="J369">
        <v>213</v>
      </c>
      <c r="K369">
        <v>2</v>
      </c>
      <c r="L369">
        <v>426</v>
      </c>
      <c r="M369" t="s">
        <v>23</v>
      </c>
      <c r="N369" t="s">
        <v>48</v>
      </c>
      <c r="O369" t="s">
        <v>62</v>
      </c>
      <c r="P369">
        <v>13</v>
      </c>
    </row>
    <row r="370" spans="1:16" x14ac:dyDescent="0.3">
      <c r="A370" t="s">
        <v>1204</v>
      </c>
      <c r="B370" t="s">
        <v>659</v>
      </c>
      <c r="C370" t="str">
        <f t="shared" si="10"/>
        <v>September</v>
      </c>
      <c r="D370">
        <f t="shared" si="11"/>
        <v>2024</v>
      </c>
      <c r="E370" t="s">
        <v>1205</v>
      </c>
      <c r="F370" t="s">
        <v>1206</v>
      </c>
      <c r="G370" t="s">
        <v>20</v>
      </c>
      <c r="H370" t="s">
        <v>38</v>
      </c>
      <c r="I370" t="s">
        <v>130</v>
      </c>
      <c r="J370">
        <v>944</v>
      </c>
      <c r="K370">
        <v>1</v>
      </c>
      <c r="L370">
        <v>944</v>
      </c>
      <c r="M370" t="s">
        <v>30</v>
      </c>
      <c r="N370" t="s">
        <v>24</v>
      </c>
      <c r="O370" t="s">
        <v>55</v>
      </c>
      <c r="P370">
        <v>6</v>
      </c>
    </row>
    <row r="371" spans="1:16" x14ac:dyDescent="0.3">
      <c r="A371" t="s">
        <v>1207</v>
      </c>
      <c r="B371" t="s">
        <v>437</v>
      </c>
      <c r="C371" t="str">
        <f t="shared" si="10"/>
        <v>February</v>
      </c>
      <c r="D371">
        <f t="shared" si="11"/>
        <v>2024</v>
      </c>
      <c r="E371" t="s">
        <v>1208</v>
      </c>
      <c r="F371" t="s">
        <v>594</v>
      </c>
      <c r="G371" t="s">
        <v>37</v>
      </c>
      <c r="H371" t="s">
        <v>71</v>
      </c>
      <c r="I371" t="s">
        <v>124</v>
      </c>
      <c r="J371">
        <v>993</v>
      </c>
      <c r="K371">
        <v>3</v>
      </c>
      <c r="L371">
        <v>2979</v>
      </c>
      <c r="M371" t="s">
        <v>23</v>
      </c>
      <c r="N371" t="s">
        <v>40</v>
      </c>
      <c r="O371" t="s">
        <v>25</v>
      </c>
      <c r="P371">
        <v>4</v>
      </c>
    </row>
    <row r="372" spans="1:16" x14ac:dyDescent="0.3">
      <c r="A372" t="s">
        <v>1209</v>
      </c>
      <c r="B372" t="s">
        <v>337</v>
      </c>
      <c r="C372" t="str">
        <f t="shared" si="10"/>
        <v>March</v>
      </c>
      <c r="D372">
        <f t="shared" si="11"/>
        <v>2024</v>
      </c>
      <c r="E372" t="s">
        <v>305</v>
      </c>
      <c r="F372" t="s">
        <v>1051</v>
      </c>
      <c r="G372" t="s">
        <v>20</v>
      </c>
      <c r="H372" t="s">
        <v>38</v>
      </c>
      <c r="I372" t="s">
        <v>39</v>
      </c>
      <c r="J372">
        <v>279</v>
      </c>
      <c r="K372">
        <v>5</v>
      </c>
      <c r="L372">
        <v>1395</v>
      </c>
      <c r="M372" t="s">
        <v>138</v>
      </c>
      <c r="N372" t="s">
        <v>24</v>
      </c>
      <c r="O372" t="s">
        <v>78</v>
      </c>
      <c r="P372">
        <v>22</v>
      </c>
    </row>
    <row r="373" spans="1:16" x14ac:dyDescent="0.3">
      <c r="A373" t="s">
        <v>1210</v>
      </c>
      <c r="B373" t="s">
        <v>545</v>
      </c>
      <c r="C373" t="str">
        <f t="shared" si="10"/>
        <v>May</v>
      </c>
      <c r="D373">
        <f t="shared" si="11"/>
        <v>2025</v>
      </c>
      <c r="E373" t="s">
        <v>1211</v>
      </c>
      <c r="F373" t="s">
        <v>1212</v>
      </c>
      <c r="G373" t="s">
        <v>46</v>
      </c>
      <c r="H373" t="s">
        <v>21</v>
      </c>
      <c r="I373" t="s">
        <v>53</v>
      </c>
      <c r="J373">
        <v>204</v>
      </c>
      <c r="K373">
        <v>5</v>
      </c>
      <c r="L373">
        <v>1020</v>
      </c>
      <c r="M373" t="s">
        <v>61</v>
      </c>
      <c r="N373" t="s">
        <v>31</v>
      </c>
      <c r="O373" t="s">
        <v>125</v>
      </c>
      <c r="P373">
        <v>29</v>
      </c>
    </row>
    <row r="374" spans="1:16" x14ac:dyDescent="0.3">
      <c r="A374" t="s">
        <v>1213</v>
      </c>
      <c r="B374" t="s">
        <v>549</v>
      </c>
      <c r="C374" t="str">
        <f t="shared" si="10"/>
        <v>June</v>
      </c>
      <c r="D374">
        <f t="shared" si="11"/>
        <v>2025</v>
      </c>
      <c r="E374" t="s">
        <v>1214</v>
      </c>
      <c r="F374" t="s">
        <v>238</v>
      </c>
      <c r="G374" t="s">
        <v>20</v>
      </c>
      <c r="H374" t="s">
        <v>71</v>
      </c>
      <c r="I374" t="s">
        <v>124</v>
      </c>
      <c r="J374">
        <v>729</v>
      </c>
      <c r="K374">
        <v>3</v>
      </c>
      <c r="L374">
        <v>2187</v>
      </c>
      <c r="M374" t="s">
        <v>54</v>
      </c>
      <c r="N374" t="s">
        <v>40</v>
      </c>
      <c r="O374" t="s">
        <v>84</v>
      </c>
      <c r="P374">
        <v>7</v>
      </c>
    </row>
    <row r="375" spans="1:16" x14ac:dyDescent="0.3">
      <c r="A375" t="s">
        <v>1215</v>
      </c>
      <c r="B375" t="s">
        <v>345</v>
      </c>
      <c r="C375" t="str">
        <f t="shared" si="10"/>
        <v>April</v>
      </c>
      <c r="D375">
        <f t="shared" si="11"/>
        <v>2024</v>
      </c>
      <c r="E375" t="s">
        <v>1096</v>
      </c>
      <c r="F375" t="s">
        <v>622</v>
      </c>
      <c r="G375" t="s">
        <v>37</v>
      </c>
      <c r="H375" t="s">
        <v>21</v>
      </c>
      <c r="I375" t="s">
        <v>109</v>
      </c>
      <c r="J375">
        <v>1207</v>
      </c>
      <c r="K375">
        <v>5</v>
      </c>
      <c r="L375">
        <v>6035</v>
      </c>
      <c r="M375" t="s">
        <v>23</v>
      </c>
      <c r="N375" t="s">
        <v>31</v>
      </c>
      <c r="O375" t="s">
        <v>25</v>
      </c>
      <c r="P375">
        <v>14</v>
      </c>
    </row>
    <row r="376" spans="1:16" x14ac:dyDescent="0.3">
      <c r="A376" t="s">
        <v>1216</v>
      </c>
      <c r="B376" t="s">
        <v>280</v>
      </c>
      <c r="C376" t="str">
        <f t="shared" si="10"/>
        <v>January</v>
      </c>
      <c r="D376">
        <f t="shared" si="11"/>
        <v>2024</v>
      </c>
      <c r="E376" t="s">
        <v>704</v>
      </c>
      <c r="F376" t="s">
        <v>158</v>
      </c>
      <c r="G376" t="s">
        <v>20</v>
      </c>
      <c r="H376" t="s">
        <v>71</v>
      </c>
      <c r="I376" t="s">
        <v>72</v>
      </c>
      <c r="J376">
        <v>536</v>
      </c>
      <c r="K376">
        <v>5</v>
      </c>
      <c r="L376">
        <v>2680</v>
      </c>
      <c r="M376" t="s">
        <v>61</v>
      </c>
      <c r="N376" t="s">
        <v>48</v>
      </c>
      <c r="O376" t="s">
        <v>55</v>
      </c>
      <c r="P376">
        <v>23</v>
      </c>
    </row>
    <row r="377" spans="1:16" x14ac:dyDescent="0.3">
      <c r="A377" t="s">
        <v>1217</v>
      </c>
      <c r="B377" t="s">
        <v>945</v>
      </c>
      <c r="C377" t="str">
        <f t="shared" si="10"/>
        <v>January</v>
      </c>
      <c r="D377">
        <f t="shared" si="11"/>
        <v>2025</v>
      </c>
      <c r="E377" t="s">
        <v>1218</v>
      </c>
      <c r="F377" t="s">
        <v>286</v>
      </c>
      <c r="G377" t="s">
        <v>37</v>
      </c>
      <c r="H377" t="s">
        <v>21</v>
      </c>
      <c r="I377" t="s">
        <v>22</v>
      </c>
      <c r="J377">
        <v>1217</v>
      </c>
      <c r="K377">
        <v>1</v>
      </c>
      <c r="L377">
        <v>1217</v>
      </c>
      <c r="M377" t="s">
        <v>138</v>
      </c>
      <c r="N377" t="s">
        <v>48</v>
      </c>
      <c r="O377" t="s">
        <v>32</v>
      </c>
      <c r="P377">
        <v>7</v>
      </c>
    </row>
    <row r="378" spans="1:16" x14ac:dyDescent="0.3">
      <c r="A378" t="s">
        <v>1219</v>
      </c>
      <c r="B378" t="s">
        <v>1220</v>
      </c>
      <c r="C378" t="str">
        <f t="shared" si="10"/>
        <v>January</v>
      </c>
      <c r="D378">
        <f t="shared" si="11"/>
        <v>2025</v>
      </c>
      <c r="E378" t="s">
        <v>557</v>
      </c>
      <c r="F378" t="s">
        <v>150</v>
      </c>
      <c r="G378" t="s">
        <v>20</v>
      </c>
      <c r="H378" t="s">
        <v>38</v>
      </c>
      <c r="I378" t="s">
        <v>60</v>
      </c>
      <c r="J378">
        <v>556</v>
      </c>
      <c r="K378">
        <v>3</v>
      </c>
      <c r="L378">
        <v>1668</v>
      </c>
      <c r="M378" t="s">
        <v>138</v>
      </c>
      <c r="N378" t="s">
        <v>48</v>
      </c>
      <c r="O378" t="s">
        <v>32</v>
      </c>
      <c r="P378">
        <v>26</v>
      </c>
    </row>
    <row r="379" spans="1:16" x14ac:dyDescent="0.3">
      <c r="A379" t="s">
        <v>1221</v>
      </c>
      <c r="B379" t="s">
        <v>1222</v>
      </c>
      <c r="C379" t="str">
        <f t="shared" si="10"/>
        <v>March</v>
      </c>
      <c r="D379">
        <f t="shared" si="11"/>
        <v>2025</v>
      </c>
      <c r="E379" t="s">
        <v>1223</v>
      </c>
      <c r="F379" t="s">
        <v>846</v>
      </c>
      <c r="G379" t="s">
        <v>20</v>
      </c>
      <c r="H379" t="s">
        <v>21</v>
      </c>
      <c r="I379" t="s">
        <v>77</v>
      </c>
      <c r="J379">
        <v>1050</v>
      </c>
      <c r="K379">
        <v>5</v>
      </c>
      <c r="L379">
        <v>5250</v>
      </c>
      <c r="M379" t="s">
        <v>23</v>
      </c>
      <c r="N379" t="s">
        <v>24</v>
      </c>
      <c r="O379" t="s">
        <v>41</v>
      </c>
      <c r="P379">
        <v>6</v>
      </c>
    </row>
    <row r="380" spans="1:16" x14ac:dyDescent="0.3">
      <c r="A380" t="s">
        <v>1224</v>
      </c>
      <c r="B380" t="s">
        <v>1225</v>
      </c>
      <c r="C380" t="str">
        <f t="shared" si="10"/>
        <v>June</v>
      </c>
      <c r="D380">
        <f t="shared" si="11"/>
        <v>2025</v>
      </c>
      <c r="E380" t="s">
        <v>1226</v>
      </c>
      <c r="F380" t="s">
        <v>1227</v>
      </c>
      <c r="G380" t="s">
        <v>37</v>
      </c>
      <c r="H380" t="s">
        <v>38</v>
      </c>
      <c r="I380" t="s">
        <v>39</v>
      </c>
      <c r="J380">
        <v>906</v>
      </c>
      <c r="K380">
        <v>4</v>
      </c>
      <c r="L380">
        <v>3624</v>
      </c>
      <c r="M380" t="s">
        <v>54</v>
      </c>
      <c r="N380" t="s">
        <v>40</v>
      </c>
      <c r="O380" t="s">
        <v>25</v>
      </c>
      <c r="P380">
        <v>21</v>
      </c>
    </row>
    <row r="381" spans="1:16" x14ac:dyDescent="0.3">
      <c r="A381" t="s">
        <v>1228</v>
      </c>
      <c r="B381" t="s">
        <v>1229</v>
      </c>
      <c r="C381" t="str">
        <f t="shared" si="10"/>
        <v>February</v>
      </c>
      <c r="D381">
        <f t="shared" si="11"/>
        <v>2025</v>
      </c>
      <c r="E381" t="s">
        <v>1230</v>
      </c>
      <c r="F381" t="s">
        <v>1231</v>
      </c>
      <c r="G381" t="s">
        <v>37</v>
      </c>
      <c r="H381" t="s">
        <v>38</v>
      </c>
      <c r="I381" t="s">
        <v>47</v>
      </c>
      <c r="J381">
        <v>759</v>
      </c>
      <c r="K381">
        <v>2</v>
      </c>
      <c r="L381">
        <v>1518</v>
      </c>
      <c r="M381" t="s">
        <v>30</v>
      </c>
      <c r="N381" t="s">
        <v>31</v>
      </c>
      <c r="O381" t="s">
        <v>32</v>
      </c>
      <c r="P381">
        <v>20</v>
      </c>
    </row>
    <row r="382" spans="1:16" x14ac:dyDescent="0.3">
      <c r="A382" t="s">
        <v>1232</v>
      </c>
      <c r="B382" t="s">
        <v>535</v>
      </c>
      <c r="C382" t="str">
        <f t="shared" si="10"/>
        <v>January</v>
      </c>
      <c r="D382">
        <f t="shared" si="11"/>
        <v>2025</v>
      </c>
      <c r="E382" t="s">
        <v>1233</v>
      </c>
      <c r="F382" t="s">
        <v>1234</v>
      </c>
      <c r="G382" t="s">
        <v>46</v>
      </c>
      <c r="H382" t="s">
        <v>21</v>
      </c>
      <c r="I382" t="s">
        <v>114</v>
      </c>
      <c r="J382">
        <v>841</v>
      </c>
      <c r="K382">
        <v>3</v>
      </c>
      <c r="L382">
        <v>2523</v>
      </c>
      <c r="M382" t="s">
        <v>30</v>
      </c>
      <c r="N382" t="s">
        <v>24</v>
      </c>
      <c r="O382" t="s">
        <v>84</v>
      </c>
      <c r="P382">
        <v>25</v>
      </c>
    </row>
    <row r="383" spans="1:16" x14ac:dyDescent="0.3">
      <c r="A383" t="s">
        <v>1235</v>
      </c>
      <c r="B383" t="s">
        <v>352</v>
      </c>
      <c r="C383" t="str">
        <f t="shared" si="10"/>
        <v>December</v>
      </c>
      <c r="D383">
        <f t="shared" si="11"/>
        <v>2024</v>
      </c>
      <c r="E383" t="s">
        <v>1236</v>
      </c>
      <c r="F383" t="s">
        <v>1059</v>
      </c>
      <c r="G383" t="s">
        <v>37</v>
      </c>
      <c r="H383" t="s">
        <v>38</v>
      </c>
      <c r="I383" t="s">
        <v>47</v>
      </c>
      <c r="J383">
        <v>798</v>
      </c>
      <c r="K383">
        <v>5</v>
      </c>
      <c r="L383">
        <v>3990</v>
      </c>
      <c r="M383" t="s">
        <v>138</v>
      </c>
      <c r="N383" t="s">
        <v>48</v>
      </c>
      <c r="O383" t="s">
        <v>41</v>
      </c>
      <c r="P383">
        <v>14</v>
      </c>
    </row>
    <row r="384" spans="1:16" x14ac:dyDescent="0.3">
      <c r="A384" t="s">
        <v>1237</v>
      </c>
      <c r="B384" t="s">
        <v>1238</v>
      </c>
      <c r="C384" t="str">
        <f t="shared" si="10"/>
        <v>July</v>
      </c>
      <c r="D384">
        <f t="shared" si="11"/>
        <v>2025</v>
      </c>
      <c r="E384" t="s">
        <v>1180</v>
      </c>
      <c r="F384" t="s">
        <v>459</v>
      </c>
      <c r="G384" t="s">
        <v>46</v>
      </c>
      <c r="H384" t="s">
        <v>71</v>
      </c>
      <c r="I384" t="s">
        <v>83</v>
      </c>
      <c r="J384">
        <v>1403</v>
      </c>
      <c r="K384">
        <v>5</v>
      </c>
      <c r="L384">
        <v>7015</v>
      </c>
      <c r="M384" t="s">
        <v>138</v>
      </c>
      <c r="N384" t="s">
        <v>40</v>
      </c>
      <c r="O384" t="s">
        <v>84</v>
      </c>
      <c r="P384">
        <v>17</v>
      </c>
    </row>
    <row r="385" spans="1:16" x14ac:dyDescent="0.3">
      <c r="A385" t="s">
        <v>1239</v>
      </c>
      <c r="B385" t="s">
        <v>1240</v>
      </c>
      <c r="C385" t="str">
        <f t="shared" si="10"/>
        <v>June</v>
      </c>
      <c r="D385">
        <f t="shared" si="11"/>
        <v>2024</v>
      </c>
      <c r="E385" t="s">
        <v>81</v>
      </c>
      <c r="F385" t="s">
        <v>19</v>
      </c>
      <c r="G385" t="s">
        <v>20</v>
      </c>
      <c r="H385" t="s">
        <v>21</v>
      </c>
      <c r="I385" t="s">
        <v>53</v>
      </c>
      <c r="J385">
        <v>1326</v>
      </c>
      <c r="K385">
        <v>5</v>
      </c>
      <c r="L385">
        <v>6630</v>
      </c>
      <c r="M385" t="s">
        <v>30</v>
      </c>
      <c r="N385" t="s">
        <v>48</v>
      </c>
      <c r="O385" t="s">
        <v>78</v>
      </c>
      <c r="P385">
        <v>13</v>
      </c>
    </row>
    <row r="386" spans="1:16" x14ac:dyDescent="0.3">
      <c r="A386" t="s">
        <v>1241</v>
      </c>
      <c r="B386" t="s">
        <v>1242</v>
      </c>
      <c r="C386" t="str">
        <f t="shared" si="10"/>
        <v>November</v>
      </c>
      <c r="D386">
        <f t="shared" si="11"/>
        <v>2024</v>
      </c>
      <c r="E386" t="s">
        <v>1243</v>
      </c>
      <c r="F386" t="s">
        <v>306</v>
      </c>
      <c r="G386" t="s">
        <v>20</v>
      </c>
      <c r="H386" t="s">
        <v>38</v>
      </c>
      <c r="I386" t="s">
        <v>325</v>
      </c>
      <c r="J386">
        <v>310</v>
      </c>
      <c r="K386">
        <v>5</v>
      </c>
      <c r="L386">
        <v>1550</v>
      </c>
      <c r="M386" t="s">
        <v>23</v>
      </c>
      <c r="N386" t="s">
        <v>48</v>
      </c>
      <c r="O386" t="s">
        <v>78</v>
      </c>
      <c r="P386">
        <v>10</v>
      </c>
    </row>
    <row r="387" spans="1:16" x14ac:dyDescent="0.3">
      <c r="A387" t="s">
        <v>1244</v>
      </c>
      <c r="B387" t="s">
        <v>1245</v>
      </c>
      <c r="C387" t="str">
        <f t="shared" ref="C387:C450" si="12">TEXT(B387,"MMMM")</f>
        <v>January</v>
      </c>
      <c r="D387">
        <f t="shared" ref="D387:D450" si="13">YEAR(B387)</f>
        <v>2024</v>
      </c>
      <c r="E387" t="s">
        <v>1246</v>
      </c>
      <c r="F387" t="s">
        <v>70</v>
      </c>
      <c r="G387" t="s">
        <v>20</v>
      </c>
      <c r="H387" t="s">
        <v>38</v>
      </c>
      <c r="I387" t="s">
        <v>47</v>
      </c>
      <c r="J387">
        <v>399</v>
      </c>
      <c r="K387">
        <v>1</v>
      </c>
      <c r="L387">
        <v>399</v>
      </c>
      <c r="M387" t="s">
        <v>30</v>
      </c>
      <c r="N387" t="s">
        <v>24</v>
      </c>
      <c r="O387" t="s">
        <v>78</v>
      </c>
      <c r="P387">
        <v>29</v>
      </c>
    </row>
    <row r="388" spans="1:16" x14ac:dyDescent="0.3">
      <c r="A388" t="s">
        <v>1247</v>
      </c>
      <c r="B388" t="s">
        <v>34</v>
      </c>
      <c r="C388" t="str">
        <f t="shared" si="12"/>
        <v>November</v>
      </c>
      <c r="D388">
        <f t="shared" si="13"/>
        <v>2024</v>
      </c>
      <c r="E388" t="s">
        <v>662</v>
      </c>
      <c r="F388" t="s">
        <v>1248</v>
      </c>
      <c r="G388" t="s">
        <v>46</v>
      </c>
      <c r="H388" t="s">
        <v>71</v>
      </c>
      <c r="I388" t="s">
        <v>83</v>
      </c>
      <c r="J388">
        <v>309</v>
      </c>
      <c r="K388">
        <v>2</v>
      </c>
      <c r="L388">
        <v>618</v>
      </c>
      <c r="M388" t="s">
        <v>30</v>
      </c>
      <c r="N388" t="s">
        <v>31</v>
      </c>
      <c r="O388" t="s">
        <v>84</v>
      </c>
      <c r="P388">
        <v>27</v>
      </c>
    </row>
    <row r="389" spans="1:16" x14ac:dyDescent="0.3">
      <c r="A389" t="s">
        <v>1249</v>
      </c>
      <c r="B389" t="s">
        <v>1118</v>
      </c>
      <c r="C389" t="str">
        <f t="shared" si="12"/>
        <v>May</v>
      </c>
      <c r="D389">
        <f t="shared" si="13"/>
        <v>2025</v>
      </c>
      <c r="E389" t="s">
        <v>1250</v>
      </c>
      <c r="F389" t="s">
        <v>500</v>
      </c>
      <c r="G389" t="s">
        <v>20</v>
      </c>
      <c r="H389" t="s">
        <v>21</v>
      </c>
      <c r="I389" t="s">
        <v>114</v>
      </c>
      <c r="J389">
        <v>948</v>
      </c>
      <c r="K389">
        <v>2</v>
      </c>
      <c r="L389">
        <v>1896</v>
      </c>
      <c r="M389" t="s">
        <v>138</v>
      </c>
      <c r="N389" t="s">
        <v>48</v>
      </c>
      <c r="O389" t="s">
        <v>41</v>
      </c>
      <c r="P389">
        <v>30</v>
      </c>
    </row>
    <row r="390" spans="1:16" x14ac:dyDescent="0.3">
      <c r="A390" t="s">
        <v>1251</v>
      </c>
      <c r="B390" t="s">
        <v>519</v>
      </c>
      <c r="C390" t="str">
        <f t="shared" si="12"/>
        <v>May</v>
      </c>
      <c r="D390">
        <f t="shared" si="13"/>
        <v>2025</v>
      </c>
      <c r="E390" t="s">
        <v>1252</v>
      </c>
      <c r="F390" t="s">
        <v>1253</v>
      </c>
      <c r="G390" t="s">
        <v>46</v>
      </c>
      <c r="H390" t="s">
        <v>71</v>
      </c>
      <c r="I390" t="s">
        <v>124</v>
      </c>
      <c r="J390">
        <v>807</v>
      </c>
      <c r="K390">
        <v>2</v>
      </c>
      <c r="L390">
        <v>1614</v>
      </c>
      <c r="M390" t="s">
        <v>138</v>
      </c>
      <c r="N390" t="s">
        <v>31</v>
      </c>
      <c r="O390" t="s">
        <v>84</v>
      </c>
      <c r="P390">
        <v>16</v>
      </c>
    </row>
    <row r="391" spans="1:16" x14ac:dyDescent="0.3">
      <c r="A391" t="s">
        <v>1254</v>
      </c>
      <c r="B391" t="s">
        <v>1255</v>
      </c>
      <c r="C391" t="str">
        <f t="shared" si="12"/>
        <v>November</v>
      </c>
      <c r="D391">
        <f t="shared" si="13"/>
        <v>2024</v>
      </c>
      <c r="E391" t="s">
        <v>1256</v>
      </c>
      <c r="F391" t="s">
        <v>255</v>
      </c>
      <c r="G391" t="s">
        <v>46</v>
      </c>
      <c r="H391" t="s">
        <v>38</v>
      </c>
      <c r="I391" t="s">
        <v>39</v>
      </c>
      <c r="J391">
        <v>785</v>
      </c>
      <c r="K391">
        <v>5</v>
      </c>
      <c r="L391">
        <v>3925</v>
      </c>
      <c r="M391" t="s">
        <v>61</v>
      </c>
      <c r="N391" t="s">
        <v>24</v>
      </c>
      <c r="O391" t="s">
        <v>55</v>
      </c>
      <c r="P391">
        <v>3</v>
      </c>
    </row>
    <row r="392" spans="1:16" x14ac:dyDescent="0.3">
      <c r="A392" t="s">
        <v>1257</v>
      </c>
      <c r="B392" t="s">
        <v>1258</v>
      </c>
      <c r="C392" t="str">
        <f t="shared" si="12"/>
        <v>March</v>
      </c>
      <c r="D392">
        <f t="shared" si="13"/>
        <v>2025</v>
      </c>
      <c r="E392" t="s">
        <v>1259</v>
      </c>
      <c r="F392" t="s">
        <v>1025</v>
      </c>
      <c r="G392" t="s">
        <v>37</v>
      </c>
      <c r="H392" t="s">
        <v>21</v>
      </c>
      <c r="I392" t="s">
        <v>77</v>
      </c>
      <c r="J392">
        <v>282</v>
      </c>
      <c r="K392">
        <v>2</v>
      </c>
      <c r="L392">
        <v>564</v>
      </c>
      <c r="M392" t="s">
        <v>61</v>
      </c>
      <c r="N392" t="s">
        <v>31</v>
      </c>
      <c r="O392" t="s">
        <v>125</v>
      </c>
      <c r="P392">
        <v>16</v>
      </c>
    </row>
    <row r="393" spans="1:16" x14ac:dyDescent="0.3">
      <c r="A393" t="s">
        <v>1260</v>
      </c>
      <c r="B393" t="s">
        <v>454</v>
      </c>
      <c r="C393" t="str">
        <f t="shared" si="12"/>
        <v>October</v>
      </c>
      <c r="D393">
        <f t="shared" si="13"/>
        <v>2024</v>
      </c>
      <c r="E393" t="s">
        <v>312</v>
      </c>
      <c r="F393" t="s">
        <v>1261</v>
      </c>
      <c r="G393" t="s">
        <v>20</v>
      </c>
      <c r="H393" t="s">
        <v>38</v>
      </c>
      <c r="I393" t="s">
        <v>325</v>
      </c>
      <c r="J393">
        <v>1396</v>
      </c>
      <c r="K393">
        <v>3</v>
      </c>
      <c r="L393">
        <v>4188</v>
      </c>
      <c r="M393" t="s">
        <v>30</v>
      </c>
      <c r="N393" t="s">
        <v>31</v>
      </c>
      <c r="O393" t="s">
        <v>41</v>
      </c>
      <c r="P393">
        <v>21</v>
      </c>
    </row>
    <row r="394" spans="1:16" x14ac:dyDescent="0.3">
      <c r="A394" t="s">
        <v>1262</v>
      </c>
      <c r="B394" t="s">
        <v>371</v>
      </c>
      <c r="C394" t="str">
        <f t="shared" si="12"/>
        <v>April</v>
      </c>
      <c r="D394">
        <f t="shared" si="13"/>
        <v>2024</v>
      </c>
      <c r="E394" t="s">
        <v>1263</v>
      </c>
      <c r="F394" t="s">
        <v>1264</v>
      </c>
      <c r="G394" t="s">
        <v>20</v>
      </c>
      <c r="H394" t="s">
        <v>21</v>
      </c>
      <c r="I394" t="s">
        <v>53</v>
      </c>
      <c r="J394">
        <v>1132</v>
      </c>
      <c r="K394">
        <v>2</v>
      </c>
      <c r="L394">
        <v>2264</v>
      </c>
      <c r="M394" t="s">
        <v>61</v>
      </c>
      <c r="N394" t="s">
        <v>40</v>
      </c>
      <c r="O394" t="s">
        <v>55</v>
      </c>
      <c r="P394">
        <v>16</v>
      </c>
    </row>
    <row r="395" spans="1:16" x14ac:dyDescent="0.3">
      <c r="A395" t="s">
        <v>1265</v>
      </c>
      <c r="B395" t="s">
        <v>437</v>
      </c>
      <c r="C395" t="str">
        <f t="shared" si="12"/>
        <v>February</v>
      </c>
      <c r="D395">
        <f t="shared" si="13"/>
        <v>2024</v>
      </c>
      <c r="E395" t="s">
        <v>1266</v>
      </c>
      <c r="F395" t="s">
        <v>275</v>
      </c>
      <c r="G395" t="s">
        <v>20</v>
      </c>
      <c r="H395" t="s">
        <v>38</v>
      </c>
      <c r="I395" t="s">
        <v>39</v>
      </c>
      <c r="J395">
        <v>595</v>
      </c>
      <c r="K395">
        <v>1</v>
      </c>
      <c r="L395">
        <v>595</v>
      </c>
      <c r="M395" t="s">
        <v>61</v>
      </c>
      <c r="N395" t="s">
        <v>24</v>
      </c>
      <c r="O395" t="s">
        <v>62</v>
      </c>
      <c r="P395">
        <v>14</v>
      </c>
    </row>
    <row r="396" spans="1:16" x14ac:dyDescent="0.3">
      <c r="A396" t="s">
        <v>1267</v>
      </c>
      <c r="B396" t="s">
        <v>1268</v>
      </c>
      <c r="C396" t="str">
        <f t="shared" si="12"/>
        <v>July</v>
      </c>
      <c r="D396">
        <f t="shared" si="13"/>
        <v>2025</v>
      </c>
      <c r="E396" t="s">
        <v>1269</v>
      </c>
      <c r="F396" t="s">
        <v>1270</v>
      </c>
      <c r="G396" t="s">
        <v>37</v>
      </c>
      <c r="H396" t="s">
        <v>21</v>
      </c>
      <c r="I396" t="s">
        <v>22</v>
      </c>
      <c r="J396">
        <v>1231</v>
      </c>
      <c r="K396">
        <v>3</v>
      </c>
      <c r="L396">
        <v>3693</v>
      </c>
      <c r="M396" t="s">
        <v>138</v>
      </c>
      <c r="N396" t="s">
        <v>40</v>
      </c>
      <c r="O396" t="s">
        <v>25</v>
      </c>
      <c r="P396">
        <v>14</v>
      </c>
    </row>
    <row r="397" spans="1:16" x14ac:dyDescent="0.3">
      <c r="A397" t="s">
        <v>1271</v>
      </c>
      <c r="B397" t="s">
        <v>960</v>
      </c>
      <c r="C397" t="str">
        <f t="shared" si="12"/>
        <v>November</v>
      </c>
      <c r="D397">
        <f t="shared" si="13"/>
        <v>2024</v>
      </c>
      <c r="E397" t="s">
        <v>1018</v>
      </c>
      <c r="F397" t="s">
        <v>736</v>
      </c>
      <c r="G397" t="s">
        <v>37</v>
      </c>
      <c r="H397" t="s">
        <v>38</v>
      </c>
      <c r="I397" t="s">
        <v>47</v>
      </c>
      <c r="J397">
        <v>1397</v>
      </c>
      <c r="K397">
        <v>2</v>
      </c>
      <c r="L397">
        <v>2794</v>
      </c>
      <c r="M397" t="s">
        <v>54</v>
      </c>
      <c r="N397" t="s">
        <v>31</v>
      </c>
      <c r="O397" t="s">
        <v>41</v>
      </c>
      <c r="P397">
        <v>9</v>
      </c>
    </row>
    <row r="398" spans="1:16" x14ac:dyDescent="0.3">
      <c r="A398" t="s">
        <v>1272</v>
      </c>
      <c r="B398" t="s">
        <v>584</v>
      </c>
      <c r="C398" t="str">
        <f t="shared" si="12"/>
        <v>September</v>
      </c>
      <c r="D398">
        <f t="shared" si="13"/>
        <v>2024</v>
      </c>
      <c r="E398" t="s">
        <v>1273</v>
      </c>
      <c r="F398" t="s">
        <v>471</v>
      </c>
      <c r="G398" t="s">
        <v>20</v>
      </c>
      <c r="H398" t="s">
        <v>71</v>
      </c>
      <c r="I398" t="s">
        <v>96</v>
      </c>
      <c r="J398">
        <v>287</v>
      </c>
      <c r="K398">
        <v>1</v>
      </c>
      <c r="L398">
        <v>287</v>
      </c>
      <c r="M398" t="s">
        <v>54</v>
      </c>
      <c r="N398" t="s">
        <v>48</v>
      </c>
      <c r="O398" t="s">
        <v>55</v>
      </c>
      <c r="P398">
        <v>15</v>
      </c>
    </row>
    <row r="399" spans="1:16" x14ac:dyDescent="0.3">
      <c r="A399" t="s">
        <v>1274</v>
      </c>
      <c r="B399" t="s">
        <v>1107</v>
      </c>
      <c r="C399" t="str">
        <f t="shared" si="12"/>
        <v>September</v>
      </c>
      <c r="D399">
        <f t="shared" si="13"/>
        <v>2024</v>
      </c>
      <c r="E399" t="s">
        <v>1275</v>
      </c>
      <c r="F399" t="s">
        <v>1276</v>
      </c>
      <c r="G399" t="s">
        <v>37</v>
      </c>
      <c r="H399" t="s">
        <v>21</v>
      </c>
      <c r="I399" t="s">
        <v>53</v>
      </c>
      <c r="J399">
        <v>530</v>
      </c>
      <c r="K399">
        <v>4</v>
      </c>
      <c r="L399">
        <v>2120</v>
      </c>
      <c r="M399" t="s">
        <v>61</v>
      </c>
      <c r="N399" t="s">
        <v>48</v>
      </c>
      <c r="O399" t="s">
        <v>55</v>
      </c>
      <c r="P399">
        <v>4</v>
      </c>
    </row>
    <row r="400" spans="1:16" x14ac:dyDescent="0.3">
      <c r="A400" t="s">
        <v>1277</v>
      </c>
      <c r="B400" t="s">
        <v>535</v>
      </c>
      <c r="C400" t="str">
        <f t="shared" si="12"/>
        <v>January</v>
      </c>
      <c r="D400">
        <f t="shared" si="13"/>
        <v>2025</v>
      </c>
      <c r="E400" t="s">
        <v>790</v>
      </c>
      <c r="F400" t="s">
        <v>298</v>
      </c>
      <c r="G400" t="s">
        <v>37</v>
      </c>
      <c r="H400" t="s">
        <v>38</v>
      </c>
      <c r="I400" t="s">
        <v>325</v>
      </c>
      <c r="J400">
        <v>879</v>
      </c>
      <c r="K400">
        <v>2</v>
      </c>
      <c r="L400">
        <v>1758</v>
      </c>
      <c r="M400" t="s">
        <v>23</v>
      </c>
      <c r="N400" t="s">
        <v>40</v>
      </c>
      <c r="O400" t="s">
        <v>55</v>
      </c>
      <c r="P400">
        <v>8</v>
      </c>
    </row>
    <row r="401" spans="1:16" x14ac:dyDescent="0.3">
      <c r="A401" t="s">
        <v>1278</v>
      </c>
      <c r="B401" t="s">
        <v>132</v>
      </c>
      <c r="C401" t="str">
        <f t="shared" si="12"/>
        <v>March</v>
      </c>
      <c r="D401">
        <f t="shared" si="13"/>
        <v>2024</v>
      </c>
      <c r="E401" t="s">
        <v>1279</v>
      </c>
      <c r="F401" t="s">
        <v>329</v>
      </c>
      <c r="G401" t="s">
        <v>37</v>
      </c>
      <c r="H401" t="s">
        <v>38</v>
      </c>
      <c r="I401" t="s">
        <v>39</v>
      </c>
      <c r="J401">
        <v>1133</v>
      </c>
      <c r="K401">
        <v>4</v>
      </c>
      <c r="L401">
        <v>4532</v>
      </c>
      <c r="M401" t="s">
        <v>54</v>
      </c>
      <c r="N401" t="s">
        <v>31</v>
      </c>
      <c r="O401" t="s">
        <v>78</v>
      </c>
      <c r="P401">
        <v>28</v>
      </c>
    </row>
    <row r="402" spans="1:16" x14ac:dyDescent="0.3">
      <c r="A402" t="s">
        <v>1280</v>
      </c>
      <c r="B402" t="s">
        <v>589</v>
      </c>
      <c r="C402" t="str">
        <f t="shared" si="12"/>
        <v>April</v>
      </c>
      <c r="D402">
        <f t="shared" si="13"/>
        <v>2025</v>
      </c>
      <c r="E402" t="s">
        <v>1281</v>
      </c>
      <c r="F402" t="s">
        <v>317</v>
      </c>
      <c r="G402" t="s">
        <v>46</v>
      </c>
      <c r="H402" t="s">
        <v>71</v>
      </c>
      <c r="I402" t="s">
        <v>124</v>
      </c>
      <c r="J402">
        <v>637</v>
      </c>
      <c r="K402">
        <v>1</v>
      </c>
      <c r="L402">
        <v>637</v>
      </c>
      <c r="M402" t="s">
        <v>61</v>
      </c>
      <c r="N402" t="s">
        <v>48</v>
      </c>
      <c r="O402" t="s">
        <v>125</v>
      </c>
      <c r="P402">
        <v>5</v>
      </c>
    </row>
    <row r="403" spans="1:16" x14ac:dyDescent="0.3">
      <c r="A403" t="s">
        <v>1282</v>
      </c>
      <c r="B403" t="s">
        <v>178</v>
      </c>
      <c r="C403" t="str">
        <f t="shared" si="12"/>
        <v>July</v>
      </c>
      <c r="D403">
        <f t="shared" si="13"/>
        <v>2024</v>
      </c>
      <c r="E403" t="s">
        <v>1283</v>
      </c>
      <c r="F403" t="s">
        <v>565</v>
      </c>
      <c r="G403" t="s">
        <v>20</v>
      </c>
      <c r="H403" t="s">
        <v>21</v>
      </c>
      <c r="I403" t="s">
        <v>22</v>
      </c>
      <c r="J403">
        <v>589</v>
      </c>
      <c r="K403">
        <v>4</v>
      </c>
      <c r="L403">
        <v>2356</v>
      </c>
      <c r="M403" t="s">
        <v>54</v>
      </c>
      <c r="N403" t="s">
        <v>48</v>
      </c>
      <c r="O403" t="s">
        <v>55</v>
      </c>
      <c r="P403">
        <v>23</v>
      </c>
    </row>
    <row r="404" spans="1:16" x14ac:dyDescent="0.3">
      <c r="A404" t="s">
        <v>1284</v>
      </c>
      <c r="B404" t="s">
        <v>695</v>
      </c>
      <c r="C404" t="str">
        <f t="shared" si="12"/>
        <v>March</v>
      </c>
      <c r="D404">
        <f t="shared" si="13"/>
        <v>2024</v>
      </c>
      <c r="E404" t="s">
        <v>1285</v>
      </c>
      <c r="F404" t="s">
        <v>1105</v>
      </c>
      <c r="G404" t="s">
        <v>20</v>
      </c>
      <c r="H404" t="s">
        <v>38</v>
      </c>
      <c r="I404" t="s">
        <v>47</v>
      </c>
      <c r="J404">
        <v>749</v>
      </c>
      <c r="K404">
        <v>5</v>
      </c>
      <c r="L404">
        <v>3745</v>
      </c>
      <c r="M404" t="s">
        <v>23</v>
      </c>
      <c r="N404" t="s">
        <v>31</v>
      </c>
      <c r="O404" t="s">
        <v>84</v>
      </c>
      <c r="P404">
        <v>10</v>
      </c>
    </row>
    <row r="405" spans="1:16" x14ac:dyDescent="0.3">
      <c r="A405" t="s">
        <v>1286</v>
      </c>
      <c r="B405" t="s">
        <v>253</v>
      </c>
      <c r="C405" t="str">
        <f t="shared" si="12"/>
        <v>June</v>
      </c>
      <c r="D405">
        <f t="shared" si="13"/>
        <v>2024</v>
      </c>
      <c r="E405" t="s">
        <v>217</v>
      </c>
      <c r="F405" t="s">
        <v>154</v>
      </c>
      <c r="G405" t="s">
        <v>37</v>
      </c>
      <c r="H405" t="s">
        <v>21</v>
      </c>
      <c r="I405" t="s">
        <v>53</v>
      </c>
      <c r="J405">
        <v>278</v>
      </c>
      <c r="K405">
        <v>5</v>
      </c>
      <c r="L405">
        <v>1390</v>
      </c>
      <c r="M405" t="s">
        <v>23</v>
      </c>
      <c r="N405" t="s">
        <v>48</v>
      </c>
      <c r="O405" t="s">
        <v>41</v>
      </c>
      <c r="P405">
        <v>30</v>
      </c>
    </row>
    <row r="406" spans="1:16" x14ac:dyDescent="0.3">
      <c r="A406" t="s">
        <v>1287</v>
      </c>
      <c r="B406" t="s">
        <v>652</v>
      </c>
      <c r="C406" t="str">
        <f t="shared" si="12"/>
        <v>May</v>
      </c>
      <c r="D406">
        <f t="shared" si="13"/>
        <v>2024</v>
      </c>
      <c r="E406" t="s">
        <v>346</v>
      </c>
      <c r="F406" t="s">
        <v>1288</v>
      </c>
      <c r="G406" t="s">
        <v>46</v>
      </c>
      <c r="H406" t="s">
        <v>71</v>
      </c>
      <c r="I406" t="s">
        <v>119</v>
      </c>
      <c r="J406">
        <v>745</v>
      </c>
      <c r="K406">
        <v>5</v>
      </c>
      <c r="L406">
        <v>3725</v>
      </c>
      <c r="M406" t="s">
        <v>23</v>
      </c>
      <c r="N406" t="s">
        <v>40</v>
      </c>
      <c r="O406" t="s">
        <v>25</v>
      </c>
      <c r="P406">
        <v>29</v>
      </c>
    </row>
    <row r="407" spans="1:16" x14ac:dyDescent="0.3">
      <c r="A407" t="s">
        <v>1289</v>
      </c>
      <c r="B407" t="s">
        <v>1290</v>
      </c>
      <c r="C407" t="str">
        <f t="shared" si="12"/>
        <v>August</v>
      </c>
      <c r="D407">
        <f t="shared" si="13"/>
        <v>2024</v>
      </c>
      <c r="E407" t="s">
        <v>423</v>
      </c>
      <c r="F407" t="s">
        <v>493</v>
      </c>
      <c r="G407" t="s">
        <v>37</v>
      </c>
      <c r="H407" t="s">
        <v>21</v>
      </c>
      <c r="I407" t="s">
        <v>77</v>
      </c>
      <c r="J407">
        <v>1475</v>
      </c>
      <c r="K407">
        <v>1</v>
      </c>
      <c r="L407">
        <v>1475</v>
      </c>
      <c r="M407" t="s">
        <v>23</v>
      </c>
      <c r="N407" t="s">
        <v>24</v>
      </c>
      <c r="O407" t="s">
        <v>41</v>
      </c>
      <c r="P407">
        <v>5</v>
      </c>
    </row>
    <row r="408" spans="1:16" x14ac:dyDescent="0.3">
      <c r="A408" t="s">
        <v>1291</v>
      </c>
      <c r="B408" t="s">
        <v>1292</v>
      </c>
      <c r="C408" t="str">
        <f t="shared" si="12"/>
        <v>July</v>
      </c>
      <c r="D408">
        <f t="shared" si="13"/>
        <v>2025</v>
      </c>
      <c r="E408" t="s">
        <v>1166</v>
      </c>
      <c r="F408" t="s">
        <v>594</v>
      </c>
      <c r="G408" t="s">
        <v>46</v>
      </c>
      <c r="H408" t="s">
        <v>38</v>
      </c>
      <c r="I408" t="s">
        <v>47</v>
      </c>
      <c r="J408">
        <v>714</v>
      </c>
      <c r="K408">
        <v>3</v>
      </c>
      <c r="L408">
        <v>2142</v>
      </c>
      <c r="M408" t="s">
        <v>30</v>
      </c>
      <c r="N408" t="s">
        <v>24</v>
      </c>
      <c r="O408" t="s">
        <v>62</v>
      </c>
      <c r="P408">
        <v>6</v>
      </c>
    </row>
    <row r="409" spans="1:16" x14ac:dyDescent="0.3">
      <c r="A409" t="s">
        <v>1293</v>
      </c>
      <c r="B409" t="s">
        <v>1294</v>
      </c>
      <c r="C409" t="str">
        <f t="shared" si="12"/>
        <v>July</v>
      </c>
      <c r="D409">
        <f t="shared" si="13"/>
        <v>2024</v>
      </c>
      <c r="E409" t="s">
        <v>1295</v>
      </c>
      <c r="F409" t="s">
        <v>1296</v>
      </c>
      <c r="G409" t="s">
        <v>20</v>
      </c>
      <c r="H409" t="s">
        <v>21</v>
      </c>
      <c r="I409" t="s">
        <v>109</v>
      </c>
      <c r="J409">
        <v>1130</v>
      </c>
      <c r="K409">
        <v>5</v>
      </c>
      <c r="L409">
        <v>5650</v>
      </c>
      <c r="M409" t="s">
        <v>138</v>
      </c>
      <c r="N409" t="s">
        <v>24</v>
      </c>
      <c r="O409" t="s">
        <v>32</v>
      </c>
      <c r="P409">
        <v>16</v>
      </c>
    </row>
    <row r="410" spans="1:16" x14ac:dyDescent="0.3">
      <c r="A410" t="s">
        <v>1297</v>
      </c>
      <c r="B410" t="s">
        <v>1298</v>
      </c>
      <c r="C410" t="str">
        <f t="shared" si="12"/>
        <v>May</v>
      </c>
      <c r="D410">
        <f t="shared" si="13"/>
        <v>2025</v>
      </c>
      <c r="E410" t="s">
        <v>657</v>
      </c>
      <c r="F410" t="s">
        <v>1299</v>
      </c>
      <c r="G410" t="s">
        <v>37</v>
      </c>
      <c r="H410" t="s">
        <v>38</v>
      </c>
      <c r="I410" t="s">
        <v>325</v>
      </c>
      <c r="J410">
        <v>1236</v>
      </c>
      <c r="K410">
        <v>2</v>
      </c>
      <c r="L410">
        <v>2472</v>
      </c>
      <c r="M410" t="s">
        <v>61</v>
      </c>
      <c r="N410" t="s">
        <v>48</v>
      </c>
      <c r="O410" t="s">
        <v>41</v>
      </c>
      <c r="P410">
        <v>5</v>
      </c>
    </row>
    <row r="411" spans="1:16" x14ac:dyDescent="0.3">
      <c r="A411" t="s">
        <v>1300</v>
      </c>
      <c r="B411" t="s">
        <v>933</v>
      </c>
      <c r="C411" t="str">
        <f t="shared" si="12"/>
        <v>May</v>
      </c>
      <c r="D411">
        <f t="shared" si="13"/>
        <v>2024</v>
      </c>
      <c r="E411" t="s">
        <v>811</v>
      </c>
      <c r="F411" t="s">
        <v>1121</v>
      </c>
      <c r="G411" t="s">
        <v>20</v>
      </c>
      <c r="H411" t="s">
        <v>71</v>
      </c>
      <c r="I411" t="s">
        <v>124</v>
      </c>
      <c r="J411">
        <v>1225</v>
      </c>
      <c r="K411">
        <v>1</v>
      </c>
      <c r="L411">
        <v>1225</v>
      </c>
      <c r="M411" t="s">
        <v>138</v>
      </c>
      <c r="N411" t="s">
        <v>31</v>
      </c>
      <c r="O411" t="s">
        <v>125</v>
      </c>
      <c r="P411">
        <v>3</v>
      </c>
    </row>
    <row r="412" spans="1:16" x14ac:dyDescent="0.3">
      <c r="A412" t="s">
        <v>1301</v>
      </c>
      <c r="B412" t="s">
        <v>1302</v>
      </c>
      <c r="C412" t="str">
        <f t="shared" si="12"/>
        <v>June</v>
      </c>
      <c r="D412">
        <f t="shared" si="13"/>
        <v>2024</v>
      </c>
      <c r="E412" t="s">
        <v>1303</v>
      </c>
      <c r="F412" t="s">
        <v>1304</v>
      </c>
      <c r="G412" t="s">
        <v>20</v>
      </c>
      <c r="H412" t="s">
        <v>21</v>
      </c>
      <c r="I412" t="s">
        <v>109</v>
      </c>
      <c r="J412">
        <v>252</v>
      </c>
      <c r="K412">
        <v>4</v>
      </c>
      <c r="L412">
        <v>1008</v>
      </c>
      <c r="M412" t="s">
        <v>23</v>
      </c>
      <c r="N412" t="s">
        <v>48</v>
      </c>
      <c r="O412" t="s">
        <v>55</v>
      </c>
      <c r="P412">
        <v>10</v>
      </c>
    </row>
    <row r="413" spans="1:16" x14ac:dyDescent="0.3">
      <c r="A413" t="s">
        <v>1305</v>
      </c>
      <c r="B413" t="s">
        <v>1306</v>
      </c>
      <c r="C413" t="str">
        <f t="shared" si="12"/>
        <v>February</v>
      </c>
      <c r="D413">
        <f t="shared" si="13"/>
        <v>2025</v>
      </c>
      <c r="E413" t="s">
        <v>364</v>
      </c>
      <c r="F413" t="s">
        <v>1304</v>
      </c>
      <c r="G413" t="s">
        <v>20</v>
      </c>
      <c r="H413" t="s">
        <v>38</v>
      </c>
      <c r="I413" t="s">
        <v>39</v>
      </c>
      <c r="J413">
        <v>953</v>
      </c>
      <c r="K413">
        <v>4</v>
      </c>
      <c r="L413">
        <v>3812</v>
      </c>
      <c r="M413" t="s">
        <v>61</v>
      </c>
      <c r="N413" t="s">
        <v>48</v>
      </c>
      <c r="O413" t="s">
        <v>55</v>
      </c>
      <c r="P413">
        <v>26</v>
      </c>
    </row>
    <row r="414" spans="1:16" x14ac:dyDescent="0.3">
      <c r="A414" t="s">
        <v>1307</v>
      </c>
      <c r="B414" t="s">
        <v>1308</v>
      </c>
      <c r="C414" t="str">
        <f t="shared" si="12"/>
        <v>February</v>
      </c>
      <c r="D414">
        <f t="shared" si="13"/>
        <v>2024</v>
      </c>
      <c r="E414" t="s">
        <v>1309</v>
      </c>
      <c r="F414" t="s">
        <v>1310</v>
      </c>
      <c r="G414" t="s">
        <v>37</v>
      </c>
      <c r="H414" t="s">
        <v>71</v>
      </c>
      <c r="I414" t="s">
        <v>96</v>
      </c>
      <c r="J414">
        <v>1008</v>
      </c>
      <c r="K414">
        <v>2</v>
      </c>
      <c r="L414">
        <v>2016</v>
      </c>
      <c r="M414" t="s">
        <v>23</v>
      </c>
      <c r="N414" t="s">
        <v>31</v>
      </c>
      <c r="O414" t="s">
        <v>25</v>
      </c>
      <c r="P414">
        <v>14</v>
      </c>
    </row>
    <row r="415" spans="1:16" x14ac:dyDescent="0.3">
      <c r="A415" t="s">
        <v>1311</v>
      </c>
      <c r="B415" t="s">
        <v>574</v>
      </c>
      <c r="C415" t="str">
        <f t="shared" si="12"/>
        <v>July</v>
      </c>
      <c r="D415">
        <f t="shared" si="13"/>
        <v>2024</v>
      </c>
      <c r="E415" t="s">
        <v>1312</v>
      </c>
      <c r="F415" t="s">
        <v>222</v>
      </c>
      <c r="G415" t="s">
        <v>20</v>
      </c>
      <c r="H415" t="s">
        <v>21</v>
      </c>
      <c r="I415" t="s">
        <v>77</v>
      </c>
      <c r="J415">
        <v>817</v>
      </c>
      <c r="K415">
        <v>4</v>
      </c>
      <c r="L415">
        <v>3268</v>
      </c>
      <c r="M415" t="s">
        <v>138</v>
      </c>
      <c r="N415" t="s">
        <v>31</v>
      </c>
      <c r="O415" t="s">
        <v>25</v>
      </c>
      <c r="P415">
        <v>21</v>
      </c>
    </row>
    <row r="416" spans="1:16" x14ac:dyDescent="0.3">
      <c r="A416" t="s">
        <v>1313</v>
      </c>
      <c r="B416" t="s">
        <v>628</v>
      </c>
      <c r="C416" t="str">
        <f t="shared" si="12"/>
        <v>June</v>
      </c>
      <c r="D416">
        <f t="shared" si="13"/>
        <v>2024</v>
      </c>
      <c r="E416" t="s">
        <v>1314</v>
      </c>
      <c r="F416" t="s">
        <v>104</v>
      </c>
      <c r="G416" t="s">
        <v>46</v>
      </c>
      <c r="H416" t="s">
        <v>71</v>
      </c>
      <c r="I416" t="s">
        <v>96</v>
      </c>
      <c r="J416">
        <v>897</v>
      </c>
      <c r="K416">
        <v>1</v>
      </c>
      <c r="L416">
        <v>897</v>
      </c>
      <c r="M416" t="s">
        <v>61</v>
      </c>
      <c r="N416" t="s">
        <v>40</v>
      </c>
      <c r="O416" t="s">
        <v>84</v>
      </c>
      <c r="P416">
        <v>23</v>
      </c>
    </row>
    <row r="417" spans="1:16" x14ac:dyDescent="0.3">
      <c r="A417" t="s">
        <v>1315</v>
      </c>
      <c r="B417" t="s">
        <v>1316</v>
      </c>
      <c r="C417" t="str">
        <f t="shared" si="12"/>
        <v>May</v>
      </c>
      <c r="D417">
        <f t="shared" si="13"/>
        <v>2025</v>
      </c>
      <c r="E417" t="s">
        <v>1317</v>
      </c>
      <c r="F417" t="s">
        <v>919</v>
      </c>
      <c r="G417" t="s">
        <v>46</v>
      </c>
      <c r="H417" t="s">
        <v>38</v>
      </c>
      <c r="I417" t="s">
        <v>39</v>
      </c>
      <c r="J417">
        <v>1386</v>
      </c>
      <c r="K417">
        <v>3</v>
      </c>
      <c r="L417">
        <v>4158</v>
      </c>
      <c r="M417" t="s">
        <v>54</v>
      </c>
      <c r="N417" t="s">
        <v>40</v>
      </c>
      <c r="O417" t="s">
        <v>55</v>
      </c>
      <c r="P417">
        <v>7</v>
      </c>
    </row>
    <row r="418" spans="1:16" x14ac:dyDescent="0.3">
      <c r="A418" t="s">
        <v>1318</v>
      </c>
      <c r="B418" t="s">
        <v>1319</v>
      </c>
      <c r="C418" t="str">
        <f t="shared" si="12"/>
        <v>November</v>
      </c>
      <c r="D418">
        <f t="shared" si="13"/>
        <v>2024</v>
      </c>
      <c r="E418" t="s">
        <v>1320</v>
      </c>
      <c r="F418" t="s">
        <v>1321</v>
      </c>
      <c r="G418" t="s">
        <v>46</v>
      </c>
      <c r="H418" t="s">
        <v>21</v>
      </c>
      <c r="I418" t="s">
        <v>114</v>
      </c>
      <c r="J418">
        <v>856</v>
      </c>
      <c r="K418">
        <v>2</v>
      </c>
      <c r="L418">
        <v>1712</v>
      </c>
      <c r="M418" t="s">
        <v>30</v>
      </c>
      <c r="N418" t="s">
        <v>24</v>
      </c>
      <c r="O418" t="s">
        <v>78</v>
      </c>
      <c r="P418">
        <v>21</v>
      </c>
    </row>
    <row r="419" spans="1:16" x14ac:dyDescent="0.3">
      <c r="A419" t="s">
        <v>1322</v>
      </c>
      <c r="B419" t="s">
        <v>1323</v>
      </c>
      <c r="C419" t="str">
        <f t="shared" si="12"/>
        <v>June</v>
      </c>
      <c r="D419">
        <f t="shared" si="13"/>
        <v>2024</v>
      </c>
      <c r="E419" t="s">
        <v>542</v>
      </c>
      <c r="F419" t="s">
        <v>1324</v>
      </c>
      <c r="G419" t="s">
        <v>20</v>
      </c>
      <c r="H419" t="s">
        <v>71</v>
      </c>
      <c r="I419" t="s">
        <v>96</v>
      </c>
      <c r="J419">
        <v>908</v>
      </c>
      <c r="K419">
        <v>3</v>
      </c>
      <c r="L419">
        <v>2724</v>
      </c>
      <c r="M419" t="s">
        <v>30</v>
      </c>
      <c r="N419" t="s">
        <v>31</v>
      </c>
      <c r="O419" t="s">
        <v>78</v>
      </c>
      <c r="P419">
        <v>15</v>
      </c>
    </row>
    <row r="420" spans="1:16" x14ac:dyDescent="0.3">
      <c r="A420" t="s">
        <v>1325</v>
      </c>
      <c r="B420" t="s">
        <v>236</v>
      </c>
      <c r="C420" t="str">
        <f t="shared" si="12"/>
        <v>April</v>
      </c>
      <c r="D420">
        <f t="shared" si="13"/>
        <v>2024</v>
      </c>
      <c r="E420" t="s">
        <v>1326</v>
      </c>
      <c r="F420" t="s">
        <v>347</v>
      </c>
      <c r="G420" t="s">
        <v>20</v>
      </c>
      <c r="H420" t="s">
        <v>38</v>
      </c>
      <c r="I420" t="s">
        <v>39</v>
      </c>
      <c r="J420">
        <v>731</v>
      </c>
      <c r="K420">
        <v>4</v>
      </c>
      <c r="L420">
        <v>2924</v>
      </c>
      <c r="M420" t="s">
        <v>54</v>
      </c>
      <c r="N420" t="s">
        <v>24</v>
      </c>
      <c r="O420" t="s">
        <v>62</v>
      </c>
      <c r="P420">
        <v>18</v>
      </c>
    </row>
    <row r="421" spans="1:16" x14ac:dyDescent="0.3">
      <c r="A421" t="s">
        <v>1327</v>
      </c>
      <c r="B421" t="s">
        <v>144</v>
      </c>
      <c r="C421" t="str">
        <f t="shared" si="12"/>
        <v>January</v>
      </c>
      <c r="D421">
        <f t="shared" si="13"/>
        <v>2024</v>
      </c>
      <c r="E421" t="s">
        <v>1116</v>
      </c>
      <c r="F421" t="s">
        <v>539</v>
      </c>
      <c r="G421" t="s">
        <v>37</v>
      </c>
      <c r="H421" t="s">
        <v>38</v>
      </c>
      <c r="I421" t="s">
        <v>39</v>
      </c>
      <c r="J421">
        <v>1404</v>
      </c>
      <c r="K421">
        <v>5</v>
      </c>
      <c r="L421">
        <v>7020</v>
      </c>
      <c r="M421" t="s">
        <v>54</v>
      </c>
      <c r="N421" t="s">
        <v>40</v>
      </c>
      <c r="O421" t="s">
        <v>41</v>
      </c>
      <c r="P421">
        <v>18</v>
      </c>
    </row>
    <row r="422" spans="1:16" x14ac:dyDescent="0.3">
      <c r="A422" t="s">
        <v>1328</v>
      </c>
      <c r="B422" t="s">
        <v>140</v>
      </c>
      <c r="C422" t="str">
        <f t="shared" si="12"/>
        <v>March</v>
      </c>
      <c r="D422">
        <f t="shared" si="13"/>
        <v>2024</v>
      </c>
      <c r="E422" t="s">
        <v>44</v>
      </c>
      <c r="F422" t="s">
        <v>244</v>
      </c>
      <c r="G422" t="s">
        <v>46</v>
      </c>
      <c r="H422" t="s">
        <v>21</v>
      </c>
      <c r="I422" t="s">
        <v>109</v>
      </c>
      <c r="J422">
        <v>994</v>
      </c>
      <c r="K422">
        <v>3</v>
      </c>
      <c r="L422">
        <v>2982</v>
      </c>
      <c r="M422" t="s">
        <v>61</v>
      </c>
      <c r="N422" t="s">
        <v>31</v>
      </c>
      <c r="O422" t="s">
        <v>125</v>
      </c>
      <c r="P422">
        <v>24</v>
      </c>
    </row>
    <row r="423" spans="1:16" x14ac:dyDescent="0.3">
      <c r="A423" t="s">
        <v>1329</v>
      </c>
      <c r="B423" t="s">
        <v>491</v>
      </c>
      <c r="C423" t="str">
        <f t="shared" si="12"/>
        <v>August</v>
      </c>
      <c r="D423">
        <f t="shared" si="13"/>
        <v>2024</v>
      </c>
      <c r="E423" t="s">
        <v>1303</v>
      </c>
      <c r="F423" t="s">
        <v>608</v>
      </c>
      <c r="G423" t="s">
        <v>37</v>
      </c>
      <c r="H423" t="s">
        <v>38</v>
      </c>
      <c r="I423" t="s">
        <v>39</v>
      </c>
      <c r="J423">
        <v>1172</v>
      </c>
      <c r="K423">
        <v>1</v>
      </c>
      <c r="L423">
        <v>1172</v>
      </c>
      <c r="M423" t="s">
        <v>23</v>
      </c>
      <c r="N423" t="s">
        <v>48</v>
      </c>
      <c r="O423" t="s">
        <v>32</v>
      </c>
      <c r="P423">
        <v>13</v>
      </c>
    </row>
    <row r="424" spans="1:16" x14ac:dyDescent="0.3">
      <c r="A424" t="s">
        <v>1330</v>
      </c>
      <c r="B424" t="s">
        <v>315</v>
      </c>
      <c r="C424" t="str">
        <f t="shared" si="12"/>
        <v>July</v>
      </c>
      <c r="D424">
        <f t="shared" si="13"/>
        <v>2024</v>
      </c>
      <c r="E424" t="s">
        <v>954</v>
      </c>
      <c r="F424" t="s">
        <v>329</v>
      </c>
      <c r="G424" t="s">
        <v>20</v>
      </c>
      <c r="H424" t="s">
        <v>38</v>
      </c>
      <c r="I424" t="s">
        <v>39</v>
      </c>
      <c r="J424">
        <v>1456</v>
      </c>
      <c r="K424">
        <v>2</v>
      </c>
      <c r="L424">
        <v>2912</v>
      </c>
      <c r="M424" t="s">
        <v>54</v>
      </c>
      <c r="N424" t="s">
        <v>40</v>
      </c>
      <c r="O424" t="s">
        <v>78</v>
      </c>
      <c r="P424">
        <v>10</v>
      </c>
    </row>
    <row r="425" spans="1:16" x14ac:dyDescent="0.3">
      <c r="A425" t="s">
        <v>1331</v>
      </c>
      <c r="B425" t="s">
        <v>229</v>
      </c>
      <c r="C425" t="str">
        <f t="shared" si="12"/>
        <v>April</v>
      </c>
      <c r="D425">
        <f t="shared" si="13"/>
        <v>2024</v>
      </c>
      <c r="E425" t="s">
        <v>1332</v>
      </c>
      <c r="F425" t="s">
        <v>251</v>
      </c>
      <c r="G425" t="s">
        <v>20</v>
      </c>
      <c r="H425" t="s">
        <v>38</v>
      </c>
      <c r="I425" t="s">
        <v>130</v>
      </c>
      <c r="J425">
        <v>1372</v>
      </c>
      <c r="K425">
        <v>3</v>
      </c>
      <c r="L425">
        <v>4116</v>
      </c>
      <c r="M425" t="s">
        <v>23</v>
      </c>
      <c r="N425" t="s">
        <v>31</v>
      </c>
      <c r="O425" t="s">
        <v>55</v>
      </c>
      <c r="P425">
        <v>17</v>
      </c>
    </row>
    <row r="426" spans="1:16" x14ac:dyDescent="0.3">
      <c r="A426" t="s">
        <v>1333</v>
      </c>
      <c r="B426" t="s">
        <v>1334</v>
      </c>
      <c r="C426" t="str">
        <f t="shared" si="12"/>
        <v>February</v>
      </c>
      <c r="D426">
        <f t="shared" si="13"/>
        <v>2025</v>
      </c>
      <c r="E426" t="s">
        <v>1335</v>
      </c>
      <c r="F426" t="s">
        <v>1121</v>
      </c>
      <c r="G426" t="s">
        <v>37</v>
      </c>
      <c r="H426" t="s">
        <v>21</v>
      </c>
      <c r="I426" t="s">
        <v>53</v>
      </c>
      <c r="J426">
        <v>1082</v>
      </c>
      <c r="K426">
        <v>2</v>
      </c>
      <c r="L426">
        <v>2164</v>
      </c>
      <c r="M426" t="s">
        <v>54</v>
      </c>
      <c r="N426" t="s">
        <v>24</v>
      </c>
      <c r="O426" t="s">
        <v>78</v>
      </c>
      <c r="P426">
        <v>9</v>
      </c>
    </row>
    <row r="427" spans="1:16" x14ac:dyDescent="0.3">
      <c r="A427" t="s">
        <v>1336</v>
      </c>
      <c r="B427" t="s">
        <v>624</v>
      </c>
      <c r="C427" t="str">
        <f t="shared" si="12"/>
        <v>November</v>
      </c>
      <c r="D427">
        <f t="shared" si="13"/>
        <v>2024</v>
      </c>
      <c r="E427" t="s">
        <v>646</v>
      </c>
      <c r="F427" t="s">
        <v>1337</v>
      </c>
      <c r="G427" t="s">
        <v>46</v>
      </c>
      <c r="H427" t="s">
        <v>21</v>
      </c>
      <c r="I427" t="s">
        <v>22</v>
      </c>
      <c r="J427">
        <v>761</v>
      </c>
      <c r="K427">
        <v>4</v>
      </c>
      <c r="L427">
        <v>3044</v>
      </c>
      <c r="M427" t="s">
        <v>61</v>
      </c>
      <c r="N427" t="s">
        <v>48</v>
      </c>
      <c r="O427" t="s">
        <v>55</v>
      </c>
      <c r="P427">
        <v>22</v>
      </c>
    </row>
    <row r="428" spans="1:16" x14ac:dyDescent="0.3">
      <c r="A428" t="s">
        <v>1338</v>
      </c>
      <c r="B428" t="s">
        <v>1339</v>
      </c>
      <c r="C428" t="str">
        <f t="shared" si="12"/>
        <v>January</v>
      </c>
      <c r="D428">
        <f t="shared" si="13"/>
        <v>2025</v>
      </c>
      <c r="E428" t="s">
        <v>1340</v>
      </c>
      <c r="F428" t="s">
        <v>565</v>
      </c>
      <c r="G428" t="s">
        <v>20</v>
      </c>
      <c r="H428" t="s">
        <v>21</v>
      </c>
      <c r="I428" t="s">
        <v>109</v>
      </c>
      <c r="J428">
        <v>225</v>
      </c>
      <c r="K428">
        <v>4</v>
      </c>
      <c r="L428">
        <v>900</v>
      </c>
      <c r="M428" t="s">
        <v>30</v>
      </c>
      <c r="N428" t="s">
        <v>24</v>
      </c>
      <c r="O428" t="s">
        <v>84</v>
      </c>
      <c r="P428">
        <v>11</v>
      </c>
    </row>
    <row r="429" spans="1:16" x14ac:dyDescent="0.3">
      <c r="A429" t="s">
        <v>1341</v>
      </c>
      <c r="B429" t="s">
        <v>1342</v>
      </c>
      <c r="C429" t="str">
        <f t="shared" si="12"/>
        <v>May</v>
      </c>
      <c r="D429">
        <f t="shared" si="13"/>
        <v>2025</v>
      </c>
      <c r="E429" t="s">
        <v>1343</v>
      </c>
      <c r="F429" t="s">
        <v>275</v>
      </c>
      <c r="G429" t="s">
        <v>20</v>
      </c>
      <c r="H429" t="s">
        <v>38</v>
      </c>
      <c r="I429" t="s">
        <v>60</v>
      </c>
      <c r="J429">
        <v>531</v>
      </c>
      <c r="K429">
        <v>5</v>
      </c>
      <c r="L429">
        <v>2655</v>
      </c>
      <c r="M429" t="s">
        <v>23</v>
      </c>
      <c r="N429" t="s">
        <v>40</v>
      </c>
      <c r="O429" t="s">
        <v>62</v>
      </c>
      <c r="P429">
        <v>15</v>
      </c>
    </row>
    <row r="430" spans="1:16" x14ac:dyDescent="0.3">
      <c r="A430" t="s">
        <v>1344</v>
      </c>
      <c r="B430" t="s">
        <v>1345</v>
      </c>
      <c r="C430" t="str">
        <f t="shared" si="12"/>
        <v>April</v>
      </c>
      <c r="D430">
        <f t="shared" si="13"/>
        <v>2024</v>
      </c>
      <c r="E430" t="s">
        <v>455</v>
      </c>
      <c r="F430" t="s">
        <v>565</v>
      </c>
      <c r="G430" t="s">
        <v>46</v>
      </c>
      <c r="H430" t="s">
        <v>21</v>
      </c>
      <c r="I430" t="s">
        <v>53</v>
      </c>
      <c r="J430">
        <v>1310</v>
      </c>
      <c r="K430">
        <v>1</v>
      </c>
      <c r="L430">
        <v>1310</v>
      </c>
      <c r="M430" t="s">
        <v>61</v>
      </c>
      <c r="N430" t="s">
        <v>31</v>
      </c>
      <c r="O430" t="s">
        <v>32</v>
      </c>
      <c r="P430">
        <v>2</v>
      </c>
    </row>
    <row r="431" spans="1:16" x14ac:dyDescent="0.3">
      <c r="A431" t="s">
        <v>1346</v>
      </c>
      <c r="B431" t="s">
        <v>411</v>
      </c>
      <c r="C431" t="str">
        <f t="shared" si="12"/>
        <v>March</v>
      </c>
      <c r="D431">
        <f t="shared" si="13"/>
        <v>2025</v>
      </c>
      <c r="E431" t="s">
        <v>266</v>
      </c>
      <c r="F431" t="s">
        <v>1347</v>
      </c>
      <c r="G431" t="s">
        <v>37</v>
      </c>
      <c r="H431" t="s">
        <v>21</v>
      </c>
      <c r="I431" t="s">
        <v>53</v>
      </c>
      <c r="J431">
        <v>479</v>
      </c>
      <c r="K431">
        <v>5</v>
      </c>
      <c r="L431">
        <v>2395</v>
      </c>
      <c r="M431" t="s">
        <v>30</v>
      </c>
      <c r="N431" t="s">
        <v>24</v>
      </c>
      <c r="O431" t="s">
        <v>84</v>
      </c>
      <c r="P431">
        <v>3</v>
      </c>
    </row>
    <row r="432" spans="1:16" x14ac:dyDescent="0.3">
      <c r="A432" t="s">
        <v>1348</v>
      </c>
      <c r="B432" t="s">
        <v>1349</v>
      </c>
      <c r="C432" t="str">
        <f t="shared" si="12"/>
        <v>February</v>
      </c>
      <c r="D432">
        <f t="shared" si="13"/>
        <v>2024</v>
      </c>
      <c r="E432" t="s">
        <v>1350</v>
      </c>
      <c r="F432" t="s">
        <v>594</v>
      </c>
      <c r="G432" t="s">
        <v>46</v>
      </c>
      <c r="H432" t="s">
        <v>38</v>
      </c>
      <c r="I432" t="s">
        <v>47</v>
      </c>
      <c r="J432">
        <v>671</v>
      </c>
      <c r="K432">
        <v>3</v>
      </c>
      <c r="L432">
        <v>2013</v>
      </c>
      <c r="M432" t="s">
        <v>30</v>
      </c>
      <c r="N432" t="s">
        <v>40</v>
      </c>
      <c r="O432" t="s">
        <v>55</v>
      </c>
      <c r="P432">
        <v>10</v>
      </c>
    </row>
    <row r="433" spans="1:16" x14ac:dyDescent="0.3">
      <c r="A433" t="s">
        <v>1351</v>
      </c>
      <c r="B433" t="s">
        <v>1352</v>
      </c>
      <c r="C433" t="str">
        <f t="shared" si="12"/>
        <v>October</v>
      </c>
      <c r="D433">
        <f t="shared" si="13"/>
        <v>2024</v>
      </c>
      <c r="E433" t="s">
        <v>466</v>
      </c>
      <c r="F433" t="s">
        <v>500</v>
      </c>
      <c r="G433" t="s">
        <v>46</v>
      </c>
      <c r="H433" t="s">
        <v>21</v>
      </c>
      <c r="I433" t="s">
        <v>53</v>
      </c>
      <c r="J433">
        <v>579</v>
      </c>
      <c r="K433">
        <v>3</v>
      </c>
      <c r="L433">
        <v>1737</v>
      </c>
      <c r="M433" t="s">
        <v>23</v>
      </c>
      <c r="N433" t="s">
        <v>40</v>
      </c>
      <c r="O433" t="s">
        <v>84</v>
      </c>
      <c r="P433">
        <v>28</v>
      </c>
    </row>
    <row r="434" spans="1:16" x14ac:dyDescent="0.3">
      <c r="A434" t="s">
        <v>1353</v>
      </c>
      <c r="B434" t="s">
        <v>1354</v>
      </c>
      <c r="C434" t="str">
        <f t="shared" si="12"/>
        <v>September</v>
      </c>
      <c r="D434">
        <f t="shared" si="13"/>
        <v>2024</v>
      </c>
      <c r="E434" t="s">
        <v>1355</v>
      </c>
      <c r="F434" t="s">
        <v>1356</v>
      </c>
      <c r="G434" t="s">
        <v>20</v>
      </c>
      <c r="H434" t="s">
        <v>21</v>
      </c>
      <c r="I434" t="s">
        <v>53</v>
      </c>
      <c r="J434">
        <v>1033</v>
      </c>
      <c r="K434">
        <v>2</v>
      </c>
      <c r="L434">
        <v>2066</v>
      </c>
      <c r="M434" t="s">
        <v>138</v>
      </c>
      <c r="N434" t="s">
        <v>40</v>
      </c>
      <c r="O434" t="s">
        <v>125</v>
      </c>
      <c r="P434">
        <v>24</v>
      </c>
    </row>
    <row r="435" spans="1:16" x14ac:dyDescent="0.3">
      <c r="A435" t="s">
        <v>1357</v>
      </c>
      <c r="B435" t="s">
        <v>1358</v>
      </c>
      <c r="C435" t="str">
        <f t="shared" si="12"/>
        <v>June</v>
      </c>
      <c r="D435">
        <f t="shared" si="13"/>
        <v>2025</v>
      </c>
      <c r="E435" t="s">
        <v>1359</v>
      </c>
      <c r="F435" t="s">
        <v>100</v>
      </c>
      <c r="G435" t="s">
        <v>20</v>
      </c>
      <c r="H435" t="s">
        <v>71</v>
      </c>
      <c r="I435" t="s">
        <v>124</v>
      </c>
      <c r="J435">
        <v>500</v>
      </c>
      <c r="K435">
        <v>4</v>
      </c>
      <c r="L435">
        <v>2000</v>
      </c>
      <c r="M435" t="s">
        <v>138</v>
      </c>
      <c r="N435" t="s">
        <v>24</v>
      </c>
      <c r="O435" t="s">
        <v>32</v>
      </c>
      <c r="P435">
        <v>25</v>
      </c>
    </row>
    <row r="436" spans="1:16" x14ac:dyDescent="0.3">
      <c r="A436" t="s">
        <v>1360</v>
      </c>
      <c r="B436" t="s">
        <v>1361</v>
      </c>
      <c r="C436" t="str">
        <f t="shared" si="12"/>
        <v>August</v>
      </c>
      <c r="D436">
        <f t="shared" si="13"/>
        <v>2025</v>
      </c>
      <c r="E436" t="s">
        <v>1359</v>
      </c>
      <c r="F436" t="s">
        <v>194</v>
      </c>
      <c r="G436" t="s">
        <v>20</v>
      </c>
      <c r="H436" t="s">
        <v>21</v>
      </c>
      <c r="I436" t="s">
        <v>53</v>
      </c>
      <c r="J436">
        <v>1136</v>
      </c>
      <c r="K436">
        <v>2</v>
      </c>
      <c r="L436">
        <v>2272</v>
      </c>
      <c r="M436" t="s">
        <v>61</v>
      </c>
      <c r="N436" t="s">
        <v>24</v>
      </c>
      <c r="O436" t="s">
        <v>125</v>
      </c>
      <c r="P436">
        <v>25</v>
      </c>
    </row>
    <row r="437" spans="1:16" x14ac:dyDescent="0.3">
      <c r="A437" t="s">
        <v>1362</v>
      </c>
      <c r="B437" t="s">
        <v>1363</v>
      </c>
      <c r="C437" t="str">
        <f t="shared" si="12"/>
        <v>March</v>
      </c>
      <c r="D437">
        <f t="shared" si="13"/>
        <v>2025</v>
      </c>
      <c r="E437" t="s">
        <v>1364</v>
      </c>
      <c r="F437" t="s">
        <v>1365</v>
      </c>
      <c r="G437" t="s">
        <v>20</v>
      </c>
      <c r="H437" t="s">
        <v>21</v>
      </c>
      <c r="I437" t="s">
        <v>109</v>
      </c>
      <c r="J437">
        <v>1211</v>
      </c>
      <c r="K437">
        <v>1</v>
      </c>
      <c r="L437">
        <v>1211</v>
      </c>
      <c r="M437" t="s">
        <v>23</v>
      </c>
      <c r="N437" t="s">
        <v>40</v>
      </c>
      <c r="O437" t="s">
        <v>32</v>
      </c>
      <c r="P437">
        <v>7</v>
      </c>
    </row>
    <row r="438" spans="1:16" x14ac:dyDescent="0.3">
      <c r="A438" t="s">
        <v>1366</v>
      </c>
      <c r="B438" t="s">
        <v>144</v>
      </c>
      <c r="C438" t="str">
        <f t="shared" si="12"/>
        <v>January</v>
      </c>
      <c r="D438">
        <f t="shared" si="13"/>
        <v>2024</v>
      </c>
      <c r="E438" t="s">
        <v>653</v>
      </c>
      <c r="F438" t="s">
        <v>1171</v>
      </c>
      <c r="G438" t="s">
        <v>46</v>
      </c>
      <c r="H438" t="s">
        <v>38</v>
      </c>
      <c r="I438" t="s">
        <v>60</v>
      </c>
      <c r="J438">
        <v>237</v>
      </c>
      <c r="K438">
        <v>3</v>
      </c>
      <c r="L438">
        <v>711</v>
      </c>
      <c r="M438" t="s">
        <v>138</v>
      </c>
      <c r="N438" t="s">
        <v>40</v>
      </c>
      <c r="O438" t="s">
        <v>41</v>
      </c>
      <c r="P438">
        <v>9</v>
      </c>
    </row>
    <row r="439" spans="1:16" x14ac:dyDescent="0.3">
      <c r="A439" t="s">
        <v>1367</v>
      </c>
      <c r="B439" t="s">
        <v>292</v>
      </c>
      <c r="C439" t="str">
        <f t="shared" si="12"/>
        <v>February</v>
      </c>
      <c r="D439">
        <f t="shared" si="13"/>
        <v>2024</v>
      </c>
      <c r="E439" t="s">
        <v>1368</v>
      </c>
      <c r="F439" t="s">
        <v>1324</v>
      </c>
      <c r="G439" t="s">
        <v>46</v>
      </c>
      <c r="H439" t="s">
        <v>21</v>
      </c>
      <c r="I439" t="s">
        <v>22</v>
      </c>
      <c r="J439">
        <v>773</v>
      </c>
      <c r="K439">
        <v>3</v>
      </c>
      <c r="L439">
        <v>2319</v>
      </c>
      <c r="M439" t="s">
        <v>54</v>
      </c>
      <c r="N439" t="s">
        <v>48</v>
      </c>
      <c r="O439" t="s">
        <v>62</v>
      </c>
      <c r="P439">
        <v>19</v>
      </c>
    </row>
    <row r="440" spans="1:16" x14ac:dyDescent="0.3">
      <c r="A440" t="s">
        <v>1369</v>
      </c>
      <c r="B440" t="s">
        <v>1370</v>
      </c>
      <c r="C440" t="str">
        <f t="shared" si="12"/>
        <v>April</v>
      </c>
      <c r="D440">
        <f t="shared" si="13"/>
        <v>2024</v>
      </c>
      <c r="E440" t="s">
        <v>546</v>
      </c>
      <c r="F440" t="s">
        <v>1071</v>
      </c>
      <c r="G440" t="s">
        <v>46</v>
      </c>
      <c r="H440" t="s">
        <v>71</v>
      </c>
      <c r="I440" t="s">
        <v>72</v>
      </c>
      <c r="J440">
        <v>405</v>
      </c>
      <c r="K440">
        <v>4</v>
      </c>
      <c r="L440">
        <v>1620</v>
      </c>
      <c r="M440" t="s">
        <v>138</v>
      </c>
      <c r="N440" t="s">
        <v>31</v>
      </c>
      <c r="O440" t="s">
        <v>78</v>
      </c>
      <c r="P440">
        <v>9</v>
      </c>
    </row>
    <row r="441" spans="1:16" x14ac:dyDescent="0.3">
      <c r="A441" t="s">
        <v>1371</v>
      </c>
      <c r="B441" t="s">
        <v>1372</v>
      </c>
      <c r="C441" t="str">
        <f t="shared" si="12"/>
        <v>December</v>
      </c>
      <c r="D441">
        <f t="shared" si="13"/>
        <v>2024</v>
      </c>
      <c r="E441" t="s">
        <v>1141</v>
      </c>
      <c r="F441" t="s">
        <v>1365</v>
      </c>
      <c r="G441" t="s">
        <v>37</v>
      </c>
      <c r="H441" t="s">
        <v>38</v>
      </c>
      <c r="I441" t="s">
        <v>325</v>
      </c>
      <c r="J441">
        <v>615</v>
      </c>
      <c r="K441">
        <v>2</v>
      </c>
      <c r="L441">
        <v>1230</v>
      </c>
      <c r="M441" t="s">
        <v>23</v>
      </c>
      <c r="N441" t="s">
        <v>24</v>
      </c>
      <c r="O441" t="s">
        <v>125</v>
      </c>
      <c r="P441">
        <v>27</v>
      </c>
    </row>
    <row r="442" spans="1:16" x14ac:dyDescent="0.3">
      <c r="A442" t="s">
        <v>1373</v>
      </c>
      <c r="B442" t="s">
        <v>1374</v>
      </c>
      <c r="C442" t="str">
        <f t="shared" si="12"/>
        <v>March</v>
      </c>
      <c r="D442">
        <f t="shared" si="13"/>
        <v>2025</v>
      </c>
      <c r="E442" t="s">
        <v>835</v>
      </c>
      <c r="F442" t="s">
        <v>1375</v>
      </c>
      <c r="G442" t="s">
        <v>20</v>
      </c>
      <c r="H442" t="s">
        <v>21</v>
      </c>
      <c r="I442" t="s">
        <v>53</v>
      </c>
      <c r="J442">
        <v>252</v>
      </c>
      <c r="K442">
        <v>5</v>
      </c>
      <c r="L442">
        <v>1260</v>
      </c>
      <c r="M442" t="s">
        <v>23</v>
      </c>
      <c r="N442" t="s">
        <v>40</v>
      </c>
      <c r="O442" t="s">
        <v>25</v>
      </c>
      <c r="P442">
        <v>3</v>
      </c>
    </row>
    <row r="443" spans="1:16" x14ac:dyDescent="0.3">
      <c r="A443" t="s">
        <v>1376</v>
      </c>
      <c r="B443" t="s">
        <v>1377</v>
      </c>
      <c r="C443" t="str">
        <f t="shared" si="12"/>
        <v>April</v>
      </c>
      <c r="D443">
        <f t="shared" si="13"/>
        <v>2024</v>
      </c>
      <c r="E443" t="s">
        <v>1378</v>
      </c>
      <c r="F443" t="s">
        <v>1167</v>
      </c>
      <c r="G443" t="s">
        <v>37</v>
      </c>
      <c r="H443" t="s">
        <v>38</v>
      </c>
      <c r="I443" t="s">
        <v>39</v>
      </c>
      <c r="J443">
        <v>575</v>
      </c>
      <c r="K443">
        <v>2</v>
      </c>
      <c r="L443">
        <v>1150</v>
      </c>
      <c r="M443" t="s">
        <v>23</v>
      </c>
      <c r="N443" t="s">
        <v>48</v>
      </c>
      <c r="O443" t="s">
        <v>62</v>
      </c>
      <c r="P443">
        <v>4</v>
      </c>
    </row>
    <row r="444" spans="1:16" x14ac:dyDescent="0.3">
      <c r="A444" t="s">
        <v>1379</v>
      </c>
      <c r="B444" t="s">
        <v>738</v>
      </c>
      <c r="C444" t="str">
        <f t="shared" si="12"/>
        <v>August</v>
      </c>
      <c r="D444">
        <f t="shared" si="13"/>
        <v>2025</v>
      </c>
      <c r="E444" t="s">
        <v>217</v>
      </c>
      <c r="F444" t="s">
        <v>783</v>
      </c>
      <c r="G444" t="s">
        <v>37</v>
      </c>
      <c r="H444" t="s">
        <v>21</v>
      </c>
      <c r="I444" t="s">
        <v>114</v>
      </c>
      <c r="J444">
        <v>1439</v>
      </c>
      <c r="K444">
        <v>4</v>
      </c>
      <c r="L444">
        <v>5756</v>
      </c>
      <c r="M444" t="s">
        <v>138</v>
      </c>
      <c r="N444" t="s">
        <v>40</v>
      </c>
      <c r="O444" t="s">
        <v>78</v>
      </c>
      <c r="P444">
        <v>6</v>
      </c>
    </row>
    <row r="445" spans="1:16" x14ac:dyDescent="0.3">
      <c r="A445" t="s">
        <v>1380</v>
      </c>
      <c r="B445" t="s">
        <v>308</v>
      </c>
      <c r="C445" t="str">
        <f t="shared" si="12"/>
        <v>June</v>
      </c>
      <c r="D445">
        <f t="shared" si="13"/>
        <v>2024</v>
      </c>
      <c r="E445" t="s">
        <v>1381</v>
      </c>
      <c r="F445" t="s">
        <v>715</v>
      </c>
      <c r="G445" t="s">
        <v>37</v>
      </c>
      <c r="H445" t="s">
        <v>71</v>
      </c>
      <c r="I445" t="s">
        <v>83</v>
      </c>
      <c r="J445">
        <v>874</v>
      </c>
      <c r="K445">
        <v>1</v>
      </c>
      <c r="L445">
        <v>874</v>
      </c>
      <c r="M445" t="s">
        <v>138</v>
      </c>
      <c r="N445" t="s">
        <v>24</v>
      </c>
      <c r="O445" t="s">
        <v>32</v>
      </c>
      <c r="P445">
        <v>10</v>
      </c>
    </row>
    <row r="446" spans="1:16" x14ac:dyDescent="0.3">
      <c r="A446" t="s">
        <v>1382</v>
      </c>
      <c r="B446" t="s">
        <v>1383</v>
      </c>
      <c r="C446" t="str">
        <f t="shared" si="12"/>
        <v>May</v>
      </c>
      <c r="D446">
        <f t="shared" si="13"/>
        <v>2024</v>
      </c>
      <c r="E446" t="s">
        <v>1384</v>
      </c>
      <c r="F446" t="s">
        <v>937</v>
      </c>
      <c r="G446" t="s">
        <v>20</v>
      </c>
      <c r="H446" t="s">
        <v>21</v>
      </c>
      <c r="I446" t="s">
        <v>22</v>
      </c>
      <c r="J446">
        <v>274</v>
      </c>
      <c r="K446">
        <v>4</v>
      </c>
      <c r="L446">
        <v>1096</v>
      </c>
      <c r="M446" t="s">
        <v>54</v>
      </c>
      <c r="N446" t="s">
        <v>48</v>
      </c>
      <c r="O446" t="s">
        <v>78</v>
      </c>
      <c r="P446">
        <v>19</v>
      </c>
    </row>
    <row r="447" spans="1:16" x14ac:dyDescent="0.3">
      <c r="A447" t="s">
        <v>1385</v>
      </c>
      <c r="B447" t="s">
        <v>1240</v>
      </c>
      <c r="C447" t="str">
        <f t="shared" si="12"/>
        <v>June</v>
      </c>
      <c r="D447">
        <f t="shared" si="13"/>
        <v>2024</v>
      </c>
      <c r="E447" t="s">
        <v>1386</v>
      </c>
      <c r="F447" t="s">
        <v>995</v>
      </c>
      <c r="G447" t="s">
        <v>46</v>
      </c>
      <c r="H447" t="s">
        <v>21</v>
      </c>
      <c r="I447" t="s">
        <v>22</v>
      </c>
      <c r="J447">
        <v>1043</v>
      </c>
      <c r="K447">
        <v>2</v>
      </c>
      <c r="L447">
        <v>2086</v>
      </c>
      <c r="M447" t="s">
        <v>23</v>
      </c>
      <c r="N447" t="s">
        <v>40</v>
      </c>
      <c r="O447" t="s">
        <v>55</v>
      </c>
      <c r="P447">
        <v>30</v>
      </c>
    </row>
    <row r="448" spans="1:16" x14ac:dyDescent="0.3">
      <c r="A448" t="s">
        <v>1387</v>
      </c>
      <c r="B448" t="s">
        <v>1388</v>
      </c>
      <c r="C448" t="str">
        <f t="shared" si="12"/>
        <v>March</v>
      </c>
      <c r="D448">
        <f t="shared" si="13"/>
        <v>2025</v>
      </c>
      <c r="E448" t="s">
        <v>1193</v>
      </c>
      <c r="F448" t="s">
        <v>943</v>
      </c>
      <c r="G448" t="s">
        <v>20</v>
      </c>
      <c r="H448" t="s">
        <v>21</v>
      </c>
      <c r="I448" t="s">
        <v>53</v>
      </c>
      <c r="J448">
        <v>1281</v>
      </c>
      <c r="K448">
        <v>5</v>
      </c>
      <c r="L448">
        <v>6405</v>
      </c>
      <c r="M448" t="s">
        <v>138</v>
      </c>
      <c r="N448" t="s">
        <v>48</v>
      </c>
      <c r="O448" t="s">
        <v>62</v>
      </c>
      <c r="P448">
        <v>27</v>
      </c>
    </row>
    <row r="449" spans="1:16" x14ac:dyDescent="0.3">
      <c r="A449" t="s">
        <v>1389</v>
      </c>
      <c r="B449" t="s">
        <v>1390</v>
      </c>
      <c r="C449" t="str">
        <f t="shared" si="12"/>
        <v>October</v>
      </c>
      <c r="D449">
        <f t="shared" si="13"/>
        <v>2024</v>
      </c>
      <c r="E449" t="s">
        <v>1391</v>
      </c>
      <c r="F449" t="s">
        <v>565</v>
      </c>
      <c r="G449" t="s">
        <v>20</v>
      </c>
      <c r="H449" t="s">
        <v>38</v>
      </c>
      <c r="I449" t="s">
        <v>39</v>
      </c>
      <c r="J449">
        <v>789</v>
      </c>
      <c r="K449">
        <v>4</v>
      </c>
      <c r="L449">
        <v>3156</v>
      </c>
      <c r="M449" t="s">
        <v>61</v>
      </c>
      <c r="N449" t="s">
        <v>24</v>
      </c>
      <c r="O449" t="s">
        <v>41</v>
      </c>
      <c r="P449">
        <v>24</v>
      </c>
    </row>
    <row r="450" spans="1:16" x14ac:dyDescent="0.3">
      <c r="A450" t="s">
        <v>1392</v>
      </c>
      <c r="B450" t="s">
        <v>1393</v>
      </c>
      <c r="C450" t="str">
        <f t="shared" si="12"/>
        <v>November</v>
      </c>
      <c r="D450">
        <f t="shared" si="13"/>
        <v>2024</v>
      </c>
      <c r="E450" t="s">
        <v>1394</v>
      </c>
      <c r="F450" t="s">
        <v>482</v>
      </c>
      <c r="G450" t="s">
        <v>46</v>
      </c>
      <c r="H450" t="s">
        <v>21</v>
      </c>
      <c r="I450" t="s">
        <v>53</v>
      </c>
      <c r="J450">
        <v>603</v>
      </c>
      <c r="K450">
        <v>4</v>
      </c>
      <c r="L450">
        <v>2412</v>
      </c>
      <c r="M450" t="s">
        <v>54</v>
      </c>
      <c r="N450" t="s">
        <v>24</v>
      </c>
      <c r="O450" t="s">
        <v>32</v>
      </c>
      <c r="P450">
        <v>5</v>
      </c>
    </row>
    <row r="451" spans="1:16" x14ac:dyDescent="0.3">
      <c r="A451" t="s">
        <v>1395</v>
      </c>
      <c r="B451" t="s">
        <v>132</v>
      </c>
      <c r="C451" t="str">
        <f t="shared" ref="C451:C514" si="14">TEXT(B451,"MMMM")</f>
        <v>March</v>
      </c>
      <c r="D451">
        <f t="shared" ref="D451:D514" si="15">YEAR(B451)</f>
        <v>2024</v>
      </c>
      <c r="E451" t="s">
        <v>217</v>
      </c>
      <c r="F451" t="s">
        <v>493</v>
      </c>
      <c r="G451" t="s">
        <v>46</v>
      </c>
      <c r="H451" t="s">
        <v>38</v>
      </c>
      <c r="I451" t="s">
        <v>39</v>
      </c>
      <c r="J451">
        <v>1148</v>
      </c>
      <c r="K451">
        <v>5</v>
      </c>
      <c r="L451">
        <v>5740</v>
      </c>
      <c r="M451" t="s">
        <v>61</v>
      </c>
      <c r="N451" t="s">
        <v>48</v>
      </c>
      <c r="O451" t="s">
        <v>25</v>
      </c>
      <c r="P451">
        <v>23</v>
      </c>
    </row>
    <row r="452" spans="1:16" x14ac:dyDescent="0.3">
      <c r="A452" t="s">
        <v>1396</v>
      </c>
      <c r="B452" t="s">
        <v>1397</v>
      </c>
      <c r="C452" t="str">
        <f t="shared" si="14"/>
        <v>March</v>
      </c>
      <c r="D452">
        <f t="shared" si="15"/>
        <v>2025</v>
      </c>
      <c r="E452" t="s">
        <v>1398</v>
      </c>
      <c r="F452" t="s">
        <v>919</v>
      </c>
      <c r="G452" t="s">
        <v>20</v>
      </c>
      <c r="H452" t="s">
        <v>38</v>
      </c>
      <c r="I452" t="s">
        <v>325</v>
      </c>
      <c r="J452">
        <v>1319</v>
      </c>
      <c r="K452">
        <v>3</v>
      </c>
      <c r="L452">
        <v>3957</v>
      </c>
      <c r="M452" t="s">
        <v>30</v>
      </c>
      <c r="N452" t="s">
        <v>48</v>
      </c>
      <c r="O452" t="s">
        <v>125</v>
      </c>
      <c r="P452">
        <v>16</v>
      </c>
    </row>
    <row r="453" spans="1:16" x14ac:dyDescent="0.3">
      <c r="A453" t="s">
        <v>1399</v>
      </c>
      <c r="B453" t="s">
        <v>538</v>
      </c>
      <c r="C453" t="str">
        <f t="shared" si="14"/>
        <v>March</v>
      </c>
      <c r="D453">
        <f t="shared" si="15"/>
        <v>2024</v>
      </c>
      <c r="E453" t="s">
        <v>1400</v>
      </c>
      <c r="F453" t="s">
        <v>1401</v>
      </c>
      <c r="G453" t="s">
        <v>37</v>
      </c>
      <c r="H453" t="s">
        <v>21</v>
      </c>
      <c r="I453" t="s">
        <v>109</v>
      </c>
      <c r="J453">
        <v>581</v>
      </c>
      <c r="K453">
        <v>1</v>
      </c>
      <c r="L453">
        <v>581</v>
      </c>
      <c r="M453" t="s">
        <v>54</v>
      </c>
      <c r="N453" t="s">
        <v>48</v>
      </c>
      <c r="O453" t="s">
        <v>32</v>
      </c>
      <c r="P453">
        <v>22</v>
      </c>
    </row>
    <row r="454" spans="1:16" x14ac:dyDescent="0.3">
      <c r="A454" t="s">
        <v>1402</v>
      </c>
      <c r="B454" t="s">
        <v>160</v>
      </c>
      <c r="C454" t="str">
        <f t="shared" si="14"/>
        <v>February</v>
      </c>
      <c r="D454">
        <f t="shared" si="15"/>
        <v>2024</v>
      </c>
      <c r="E454" t="s">
        <v>1403</v>
      </c>
      <c r="F454" t="s">
        <v>585</v>
      </c>
      <c r="G454" t="s">
        <v>46</v>
      </c>
      <c r="H454" t="s">
        <v>21</v>
      </c>
      <c r="I454" t="s">
        <v>109</v>
      </c>
      <c r="J454">
        <v>1451</v>
      </c>
      <c r="K454">
        <v>1</v>
      </c>
      <c r="L454">
        <v>1451</v>
      </c>
      <c r="M454" t="s">
        <v>23</v>
      </c>
      <c r="N454" t="s">
        <v>31</v>
      </c>
      <c r="O454" t="s">
        <v>125</v>
      </c>
      <c r="P454">
        <v>3</v>
      </c>
    </row>
    <row r="455" spans="1:16" x14ac:dyDescent="0.3">
      <c r="A455" t="s">
        <v>1404</v>
      </c>
      <c r="B455" t="s">
        <v>273</v>
      </c>
      <c r="C455" t="str">
        <f t="shared" si="14"/>
        <v>April</v>
      </c>
      <c r="D455">
        <f t="shared" si="15"/>
        <v>2024</v>
      </c>
      <c r="E455" t="s">
        <v>462</v>
      </c>
      <c r="F455" t="s">
        <v>226</v>
      </c>
      <c r="G455" t="s">
        <v>20</v>
      </c>
      <c r="H455" t="s">
        <v>38</v>
      </c>
      <c r="I455" t="s">
        <v>47</v>
      </c>
      <c r="J455">
        <v>609</v>
      </c>
      <c r="K455">
        <v>2</v>
      </c>
      <c r="L455">
        <v>1218</v>
      </c>
      <c r="M455" t="s">
        <v>30</v>
      </c>
      <c r="N455" t="s">
        <v>31</v>
      </c>
      <c r="O455" t="s">
        <v>25</v>
      </c>
      <c r="P455">
        <v>6</v>
      </c>
    </row>
    <row r="456" spans="1:16" x14ac:dyDescent="0.3">
      <c r="A456" t="s">
        <v>1405</v>
      </c>
      <c r="B456" t="s">
        <v>469</v>
      </c>
      <c r="C456" t="str">
        <f t="shared" si="14"/>
        <v>April</v>
      </c>
      <c r="D456">
        <f t="shared" si="15"/>
        <v>2025</v>
      </c>
      <c r="E456" t="s">
        <v>722</v>
      </c>
      <c r="F456" t="s">
        <v>977</v>
      </c>
      <c r="G456" t="s">
        <v>46</v>
      </c>
      <c r="H456" t="s">
        <v>71</v>
      </c>
      <c r="I456" t="s">
        <v>96</v>
      </c>
      <c r="J456">
        <v>216</v>
      </c>
      <c r="K456">
        <v>5</v>
      </c>
      <c r="L456">
        <v>1080</v>
      </c>
      <c r="M456" t="s">
        <v>54</v>
      </c>
      <c r="N456" t="s">
        <v>40</v>
      </c>
      <c r="O456" t="s">
        <v>125</v>
      </c>
      <c r="P456">
        <v>16</v>
      </c>
    </row>
    <row r="457" spans="1:16" x14ac:dyDescent="0.3">
      <c r="A457" t="s">
        <v>1406</v>
      </c>
      <c r="B457" t="s">
        <v>1407</v>
      </c>
      <c r="C457" t="str">
        <f t="shared" si="14"/>
        <v>November</v>
      </c>
      <c r="D457">
        <f t="shared" si="15"/>
        <v>2024</v>
      </c>
      <c r="E457" t="s">
        <v>1080</v>
      </c>
      <c r="F457" t="s">
        <v>1356</v>
      </c>
      <c r="G457" t="s">
        <v>37</v>
      </c>
      <c r="H457" t="s">
        <v>71</v>
      </c>
      <c r="I457" t="s">
        <v>83</v>
      </c>
      <c r="J457">
        <v>865</v>
      </c>
      <c r="K457">
        <v>1</v>
      </c>
      <c r="L457">
        <v>865</v>
      </c>
      <c r="M457" t="s">
        <v>23</v>
      </c>
      <c r="N457" t="s">
        <v>31</v>
      </c>
      <c r="O457" t="s">
        <v>78</v>
      </c>
      <c r="P457">
        <v>14</v>
      </c>
    </row>
    <row r="458" spans="1:16" x14ac:dyDescent="0.3">
      <c r="A458" t="s">
        <v>1408</v>
      </c>
      <c r="B458" t="s">
        <v>1409</v>
      </c>
      <c r="C458" t="str">
        <f t="shared" si="14"/>
        <v>February</v>
      </c>
      <c r="D458">
        <f t="shared" si="15"/>
        <v>2024</v>
      </c>
      <c r="E458" t="s">
        <v>1410</v>
      </c>
      <c r="F458" t="s">
        <v>1084</v>
      </c>
      <c r="G458" t="s">
        <v>20</v>
      </c>
      <c r="H458" t="s">
        <v>21</v>
      </c>
      <c r="I458" t="s">
        <v>53</v>
      </c>
      <c r="J458">
        <v>1291</v>
      </c>
      <c r="K458">
        <v>5</v>
      </c>
      <c r="L458">
        <v>6455</v>
      </c>
      <c r="M458" t="s">
        <v>61</v>
      </c>
      <c r="N458" t="s">
        <v>31</v>
      </c>
      <c r="O458" t="s">
        <v>32</v>
      </c>
      <c r="P458">
        <v>28</v>
      </c>
    </row>
    <row r="459" spans="1:16" x14ac:dyDescent="0.3">
      <c r="A459" t="s">
        <v>1411</v>
      </c>
      <c r="B459" t="s">
        <v>34</v>
      </c>
      <c r="C459" t="str">
        <f t="shared" si="14"/>
        <v>November</v>
      </c>
      <c r="D459">
        <f t="shared" si="15"/>
        <v>2024</v>
      </c>
      <c r="E459" t="s">
        <v>346</v>
      </c>
      <c r="F459" t="s">
        <v>1231</v>
      </c>
      <c r="G459" t="s">
        <v>46</v>
      </c>
      <c r="H459" t="s">
        <v>38</v>
      </c>
      <c r="I459" t="s">
        <v>60</v>
      </c>
      <c r="J459">
        <v>697</v>
      </c>
      <c r="K459">
        <v>3</v>
      </c>
      <c r="L459">
        <v>2091</v>
      </c>
      <c r="M459" t="s">
        <v>61</v>
      </c>
      <c r="N459" t="s">
        <v>31</v>
      </c>
      <c r="O459" t="s">
        <v>32</v>
      </c>
      <c r="P459">
        <v>15</v>
      </c>
    </row>
    <row r="460" spans="1:16" x14ac:dyDescent="0.3">
      <c r="A460" t="s">
        <v>1412</v>
      </c>
      <c r="B460" t="s">
        <v>814</v>
      </c>
      <c r="C460" t="str">
        <f t="shared" si="14"/>
        <v>June</v>
      </c>
      <c r="D460">
        <f t="shared" si="15"/>
        <v>2024</v>
      </c>
      <c r="E460" t="s">
        <v>1413</v>
      </c>
      <c r="F460" t="s">
        <v>697</v>
      </c>
      <c r="G460" t="s">
        <v>37</v>
      </c>
      <c r="H460" t="s">
        <v>21</v>
      </c>
      <c r="I460" t="s">
        <v>114</v>
      </c>
      <c r="J460">
        <v>569</v>
      </c>
      <c r="K460">
        <v>5</v>
      </c>
      <c r="L460">
        <v>2845</v>
      </c>
      <c r="M460" t="s">
        <v>23</v>
      </c>
      <c r="N460" t="s">
        <v>24</v>
      </c>
      <c r="O460" t="s">
        <v>32</v>
      </c>
      <c r="P460">
        <v>10</v>
      </c>
    </row>
    <row r="461" spans="1:16" x14ac:dyDescent="0.3">
      <c r="A461" t="s">
        <v>1414</v>
      </c>
      <c r="B461" t="s">
        <v>1415</v>
      </c>
      <c r="C461" t="str">
        <f t="shared" si="14"/>
        <v>February</v>
      </c>
      <c r="D461">
        <f t="shared" si="15"/>
        <v>2024</v>
      </c>
      <c r="E461" t="s">
        <v>1188</v>
      </c>
      <c r="F461" t="s">
        <v>510</v>
      </c>
      <c r="G461" t="s">
        <v>46</v>
      </c>
      <c r="H461" t="s">
        <v>21</v>
      </c>
      <c r="I461" t="s">
        <v>22</v>
      </c>
      <c r="J461">
        <v>479</v>
      </c>
      <c r="K461">
        <v>1</v>
      </c>
      <c r="L461">
        <v>479</v>
      </c>
      <c r="M461" t="s">
        <v>30</v>
      </c>
      <c r="N461" t="s">
        <v>31</v>
      </c>
      <c r="O461" t="s">
        <v>125</v>
      </c>
      <c r="P461">
        <v>19</v>
      </c>
    </row>
    <row r="462" spans="1:16" x14ac:dyDescent="0.3">
      <c r="A462" t="s">
        <v>1416</v>
      </c>
      <c r="B462" t="s">
        <v>1417</v>
      </c>
      <c r="C462" t="str">
        <f t="shared" si="14"/>
        <v>December</v>
      </c>
      <c r="D462">
        <f t="shared" si="15"/>
        <v>2024</v>
      </c>
      <c r="E462" t="s">
        <v>1418</v>
      </c>
      <c r="F462" t="s">
        <v>150</v>
      </c>
      <c r="G462" t="s">
        <v>46</v>
      </c>
      <c r="H462" t="s">
        <v>71</v>
      </c>
      <c r="I462" t="s">
        <v>72</v>
      </c>
      <c r="J462">
        <v>448</v>
      </c>
      <c r="K462">
        <v>1</v>
      </c>
      <c r="L462">
        <v>448</v>
      </c>
      <c r="M462" t="s">
        <v>61</v>
      </c>
      <c r="N462" t="s">
        <v>40</v>
      </c>
      <c r="O462" t="s">
        <v>25</v>
      </c>
      <c r="P462">
        <v>29</v>
      </c>
    </row>
    <row r="463" spans="1:16" x14ac:dyDescent="0.3">
      <c r="A463" t="s">
        <v>1419</v>
      </c>
      <c r="B463" t="s">
        <v>1420</v>
      </c>
      <c r="C463" t="str">
        <f t="shared" si="14"/>
        <v>June</v>
      </c>
      <c r="D463">
        <f t="shared" si="15"/>
        <v>2025</v>
      </c>
      <c r="E463" t="s">
        <v>1384</v>
      </c>
      <c r="F463" t="s">
        <v>1421</v>
      </c>
      <c r="G463" t="s">
        <v>20</v>
      </c>
      <c r="H463" t="s">
        <v>71</v>
      </c>
      <c r="I463" t="s">
        <v>119</v>
      </c>
      <c r="J463">
        <v>1392</v>
      </c>
      <c r="K463">
        <v>3</v>
      </c>
      <c r="L463">
        <v>4176</v>
      </c>
      <c r="M463" t="s">
        <v>138</v>
      </c>
      <c r="N463" t="s">
        <v>24</v>
      </c>
      <c r="O463" t="s">
        <v>78</v>
      </c>
      <c r="P463">
        <v>21</v>
      </c>
    </row>
    <row r="464" spans="1:16" x14ac:dyDescent="0.3">
      <c r="A464" t="s">
        <v>1422</v>
      </c>
      <c r="B464" t="s">
        <v>1423</v>
      </c>
      <c r="C464" t="str">
        <f t="shared" si="14"/>
        <v>August</v>
      </c>
      <c r="D464">
        <f t="shared" si="15"/>
        <v>2024</v>
      </c>
      <c r="E464" t="s">
        <v>1424</v>
      </c>
      <c r="F464" t="s">
        <v>45</v>
      </c>
      <c r="G464" t="s">
        <v>46</v>
      </c>
      <c r="H464" t="s">
        <v>38</v>
      </c>
      <c r="I464" t="s">
        <v>39</v>
      </c>
      <c r="J464">
        <v>674</v>
      </c>
      <c r="K464">
        <v>1</v>
      </c>
      <c r="L464">
        <v>674</v>
      </c>
      <c r="M464" t="s">
        <v>23</v>
      </c>
      <c r="N464" t="s">
        <v>40</v>
      </c>
      <c r="O464" t="s">
        <v>55</v>
      </c>
      <c r="P464">
        <v>21</v>
      </c>
    </row>
    <row r="465" spans="1:16" x14ac:dyDescent="0.3">
      <c r="A465" t="s">
        <v>1425</v>
      </c>
      <c r="B465" t="s">
        <v>1426</v>
      </c>
      <c r="C465" t="str">
        <f t="shared" si="14"/>
        <v>August</v>
      </c>
      <c r="D465">
        <f t="shared" si="15"/>
        <v>2024</v>
      </c>
      <c r="E465" t="s">
        <v>1427</v>
      </c>
      <c r="F465" t="s">
        <v>354</v>
      </c>
      <c r="G465" t="s">
        <v>37</v>
      </c>
      <c r="H465" t="s">
        <v>71</v>
      </c>
      <c r="I465" t="s">
        <v>83</v>
      </c>
      <c r="J465">
        <v>251</v>
      </c>
      <c r="K465">
        <v>4</v>
      </c>
      <c r="L465">
        <v>1004</v>
      </c>
      <c r="M465" t="s">
        <v>138</v>
      </c>
      <c r="N465" t="s">
        <v>40</v>
      </c>
      <c r="O465" t="s">
        <v>25</v>
      </c>
      <c r="P465">
        <v>21</v>
      </c>
    </row>
    <row r="466" spans="1:16" x14ac:dyDescent="0.3">
      <c r="A466" t="s">
        <v>1428</v>
      </c>
      <c r="B466" t="s">
        <v>68</v>
      </c>
      <c r="C466" t="str">
        <f t="shared" si="14"/>
        <v>December</v>
      </c>
      <c r="D466">
        <f t="shared" si="15"/>
        <v>2024</v>
      </c>
      <c r="E466" t="s">
        <v>1429</v>
      </c>
      <c r="F466" t="s">
        <v>88</v>
      </c>
      <c r="G466" t="s">
        <v>46</v>
      </c>
      <c r="H466" t="s">
        <v>38</v>
      </c>
      <c r="I466" t="s">
        <v>325</v>
      </c>
      <c r="J466">
        <v>1294</v>
      </c>
      <c r="K466">
        <v>4</v>
      </c>
      <c r="L466">
        <v>5176</v>
      </c>
      <c r="M466" t="s">
        <v>138</v>
      </c>
      <c r="N466" t="s">
        <v>40</v>
      </c>
      <c r="O466" t="s">
        <v>55</v>
      </c>
      <c r="P466">
        <v>28</v>
      </c>
    </row>
    <row r="467" spans="1:16" x14ac:dyDescent="0.3">
      <c r="A467" t="s">
        <v>1430</v>
      </c>
      <c r="B467" t="s">
        <v>664</v>
      </c>
      <c r="C467" t="str">
        <f t="shared" si="14"/>
        <v>October</v>
      </c>
      <c r="D467">
        <f t="shared" si="15"/>
        <v>2024</v>
      </c>
      <c r="E467" t="s">
        <v>616</v>
      </c>
      <c r="F467" t="s">
        <v>467</v>
      </c>
      <c r="G467" t="s">
        <v>37</v>
      </c>
      <c r="H467" t="s">
        <v>71</v>
      </c>
      <c r="I467" t="s">
        <v>72</v>
      </c>
      <c r="J467">
        <v>707</v>
      </c>
      <c r="K467">
        <v>3</v>
      </c>
      <c r="L467">
        <v>2121</v>
      </c>
      <c r="M467" t="s">
        <v>30</v>
      </c>
      <c r="N467" t="s">
        <v>40</v>
      </c>
      <c r="O467" t="s">
        <v>78</v>
      </c>
      <c r="P467">
        <v>16</v>
      </c>
    </row>
    <row r="468" spans="1:16" x14ac:dyDescent="0.3">
      <c r="A468" t="s">
        <v>1431</v>
      </c>
      <c r="B468" t="s">
        <v>1255</v>
      </c>
      <c r="C468" t="str">
        <f t="shared" si="14"/>
        <v>November</v>
      </c>
      <c r="D468">
        <f t="shared" si="15"/>
        <v>2024</v>
      </c>
      <c r="E468" t="s">
        <v>1432</v>
      </c>
      <c r="F468" t="s">
        <v>854</v>
      </c>
      <c r="G468" t="s">
        <v>37</v>
      </c>
      <c r="H468" t="s">
        <v>38</v>
      </c>
      <c r="I468" t="s">
        <v>47</v>
      </c>
      <c r="J468">
        <v>462</v>
      </c>
      <c r="K468">
        <v>2</v>
      </c>
      <c r="L468">
        <v>924</v>
      </c>
      <c r="M468" t="s">
        <v>30</v>
      </c>
      <c r="N468" t="s">
        <v>48</v>
      </c>
      <c r="O468" t="s">
        <v>62</v>
      </c>
      <c r="P468">
        <v>2</v>
      </c>
    </row>
    <row r="469" spans="1:16" x14ac:dyDescent="0.3">
      <c r="A469" t="s">
        <v>1433</v>
      </c>
      <c r="B469" t="s">
        <v>1434</v>
      </c>
      <c r="C469" t="str">
        <f t="shared" si="14"/>
        <v>March</v>
      </c>
      <c r="D469">
        <f t="shared" si="15"/>
        <v>2025</v>
      </c>
      <c r="E469" t="s">
        <v>1435</v>
      </c>
      <c r="F469" t="s">
        <v>1436</v>
      </c>
      <c r="G469" t="s">
        <v>46</v>
      </c>
      <c r="H469" t="s">
        <v>38</v>
      </c>
      <c r="I469" t="s">
        <v>47</v>
      </c>
      <c r="J469">
        <v>667</v>
      </c>
      <c r="K469">
        <v>5</v>
      </c>
      <c r="L469">
        <v>3335</v>
      </c>
      <c r="M469" t="s">
        <v>61</v>
      </c>
      <c r="N469" t="s">
        <v>40</v>
      </c>
      <c r="O469" t="s">
        <v>62</v>
      </c>
      <c r="P469">
        <v>12</v>
      </c>
    </row>
    <row r="470" spans="1:16" x14ac:dyDescent="0.3">
      <c r="A470" t="s">
        <v>1437</v>
      </c>
      <c r="B470" t="s">
        <v>1438</v>
      </c>
      <c r="C470" t="str">
        <f t="shared" si="14"/>
        <v>May</v>
      </c>
      <c r="D470">
        <f t="shared" si="15"/>
        <v>2025</v>
      </c>
      <c r="E470" t="s">
        <v>1439</v>
      </c>
      <c r="F470" t="s">
        <v>684</v>
      </c>
      <c r="G470" t="s">
        <v>20</v>
      </c>
      <c r="H470" t="s">
        <v>71</v>
      </c>
      <c r="I470" t="s">
        <v>83</v>
      </c>
      <c r="J470">
        <v>524</v>
      </c>
      <c r="K470">
        <v>4</v>
      </c>
      <c r="L470">
        <v>2096</v>
      </c>
      <c r="M470" t="s">
        <v>61</v>
      </c>
      <c r="N470" t="s">
        <v>24</v>
      </c>
      <c r="O470" t="s">
        <v>62</v>
      </c>
      <c r="P470">
        <v>23</v>
      </c>
    </row>
    <row r="471" spans="1:16" x14ac:dyDescent="0.3">
      <c r="A471" t="s">
        <v>1440</v>
      </c>
      <c r="B471" t="s">
        <v>1441</v>
      </c>
      <c r="C471" t="str">
        <f t="shared" si="14"/>
        <v>July</v>
      </c>
      <c r="D471">
        <f t="shared" si="15"/>
        <v>2024</v>
      </c>
      <c r="E471" t="s">
        <v>1226</v>
      </c>
      <c r="F471" t="s">
        <v>294</v>
      </c>
      <c r="G471" t="s">
        <v>46</v>
      </c>
      <c r="H471" t="s">
        <v>38</v>
      </c>
      <c r="I471" t="s">
        <v>39</v>
      </c>
      <c r="J471">
        <v>609</v>
      </c>
      <c r="K471">
        <v>5</v>
      </c>
      <c r="L471">
        <v>3045</v>
      </c>
      <c r="M471" t="s">
        <v>61</v>
      </c>
      <c r="N471" t="s">
        <v>24</v>
      </c>
      <c r="O471" t="s">
        <v>62</v>
      </c>
      <c r="P471">
        <v>26</v>
      </c>
    </row>
    <row r="472" spans="1:16" x14ac:dyDescent="0.3">
      <c r="A472" t="s">
        <v>1442</v>
      </c>
      <c r="B472" t="s">
        <v>315</v>
      </c>
      <c r="C472" t="str">
        <f t="shared" si="14"/>
        <v>July</v>
      </c>
      <c r="D472">
        <f t="shared" si="15"/>
        <v>2024</v>
      </c>
      <c r="E472" t="s">
        <v>1335</v>
      </c>
      <c r="F472" t="s">
        <v>317</v>
      </c>
      <c r="G472" t="s">
        <v>46</v>
      </c>
      <c r="H472" t="s">
        <v>21</v>
      </c>
      <c r="I472" t="s">
        <v>77</v>
      </c>
      <c r="J472">
        <v>959</v>
      </c>
      <c r="K472">
        <v>4</v>
      </c>
      <c r="L472">
        <v>3836</v>
      </c>
      <c r="M472" t="s">
        <v>138</v>
      </c>
      <c r="N472" t="s">
        <v>31</v>
      </c>
      <c r="O472" t="s">
        <v>84</v>
      </c>
      <c r="P472">
        <v>18</v>
      </c>
    </row>
    <row r="473" spans="1:16" x14ac:dyDescent="0.3">
      <c r="A473" t="s">
        <v>1443</v>
      </c>
      <c r="B473" t="s">
        <v>1444</v>
      </c>
      <c r="C473" t="str">
        <f t="shared" si="14"/>
        <v>February</v>
      </c>
      <c r="D473">
        <f t="shared" si="15"/>
        <v>2025</v>
      </c>
      <c r="E473" t="s">
        <v>1445</v>
      </c>
      <c r="F473" t="s">
        <v>1446</v>
      </c>
      <c r="G473" t="s">
        <v>20</v>
      </c>
      <c r="H473" t="s">
        <v>21</v>
      </c>
      <c r="I473" t="s">
        <v>114</v>
      </c>
      <c r="J473">
        <v>672</v>
      </c>
      <c r="K473">
        <v>1</v>
      </c>
      <c r="L473">
        <v>672</v>
      </c>
      <c r="M473" t="s">
        <v>23</v>
      </c>
      <c r="N473" t="s">
        <v>48</v>
      </c>
      <c r="O473" t="s">
        <v>78</v>
      </c>
      <c r="P473">
        <v>9</v>
      </c>
    </row>
    <row r="474" spans="1:16" x14ac:dyDescent="0.3">
      <c r="A474" t="s">
        <v>1447</v>
      </c>
      <c r="B474" t="s">
        <v>1448</v>
      </c>
      <c r="C474" t="str">
        <f t="shared" si="14"/>
        <v>January</v>
      </c>
      <c r="D474">
        <f t="shared" si="15"/>
        <v>2025</v>
      </c>
      <c r="E474" t="s">
        <v>1021</v>
      </c>
      <c r="F474" t="s">
        <v>539</v>
      </c>
      <c r="G474" t="s">
        <v>37</v>
      </c>
      <c r="H474" t="s">
        <v>71</v>
      </c>
      <c r="I474" t="s">
        <v>96</v>
      </c>
      <c r="J474">
        <v>1154</v>
      </c>
      <c r="K474">
        <v>5</v>
      </c>
      <c r="L474">
        <v>5770</v>
      </c>
      <c r="M474" t="s">
        <v>61</v>
      </c>
      <c r="N474" t="s">
        <v>24</v>
      </c>
      <c r="O474" t="s">
        <v>78</v>
      </c>
      <c r="P474">
        <v>2</v>
      </c>
    </row>
    <row r="475" spans="1:16" x14ac:dyDescent="0.3">
      <c r="A475" t="s">
        <v>1449</v>
      </c>
      <c r="B475" t="s">
        <v>401</v>
      </c>
      <c r="C475" t="str">
        <f t="shared" si="14"/>
        <v>April</v>
      </c>
      <c r="D475">
        <f t="shared" si="15"/>
        <v>2024</v>
      </c>
      <c r="E475" t="s">
        <v>217</v>
      </c>
      <c r="F475" t="s">
        <v>165</v>
      </c>
      <c r="G475" t="s">
        <v>37</v>
      </c>
      <c r="H475" t="s">
        <v>38</v>
      </c>
      <c r="I475" t="s">
        <v>47</v>
      </c>
      <c r="J475">
        <v>1288</v>
      </c>
      <c r="K475">
        <v>5</v>
      </c>
      <c r="L475">
        <v>6440</v>
      </c>
      <c r="M475" t="s">
        <v>30</v>
      </c>
      <c r="N475" t="s">
        <v>24</v>
      </c>
      <c r="O475" t="s">
        <v>55</v>
      </c>
      <c r="P475">
        <v>23</v>
      </c>
    </row>
    <row r="476" spans="1:16" x14ac:dyDescent="0.3">
      <c r="A476" t="s">
        <v>1450</v>
      </c>
      <c r="B476" t="s">
        <v>242</v>
      </c>
      <c r="C476" t="str">
        <f t="shared" si="14"/>
        <v>October</v>
      </c>
      <c r="D476">
        <f t="shared" si="15"/>
        <v>2024</v>
      </c>
      <c r="E476" t="s">
        <v>801</v>
      </c>
      <c r="F476" t="s">
        <v>919</v>
      </c>
      <c r="G476" t="s">
        <v>20</v>
      </c>
      <c r="H476" t="s">
        <v>21</v>
      </c>
      <c r="I476" t="s">
        <v>53</v>
      </c>
      <c r="J476">
        <v>1097</v>
      </c>
      <c r="K476">
        <v>1</v>
      </c>
      <c r="L476">
        <v>1097</v>
      </c>
      <c r="M476" t="s">
        <v>54</v>
      </c>
      <c r="N476" t="s">
        <v>31</v>
      </c>
      <c r="O476" t="s">
        <v>55</v>
      </c>
      <c r="P476">
        <v>30</v>
      </c>
    </row>
    <row r="477" spans="1:16" x14ac:dyDescent="0.3">
      <c r="A477" t="s">
        <v>1451</v>
      </c>
      <c r="B477" t="s">
        <v>1452</v>
      </c>
      <c r="C477" t="str">
        <f t="shared" si="14"/>
        <v>December</v>
      </c>
      <c r="D477">
        <f t="shared" si="15"/>
        <v>2024</v>
      </c>
      <c r="E477" t="s">
        <v>1453</v>
      </c>
      <c r="F477" t="s">
        <v>1454</v>
      </c>
      <c r="G477" t="s">
        <v>37</v>
      </c>
      <c r="H477" t="s">
        <v>71</v>
      </c>
      <c r="I477" t="s">
        <v>72</v>
      </c>
      <c r="J477">
        <v>360</v>
      </c>
      <c r="K477">
        <v>2</v>
      </c>
      <c r="L477">
        <v>720</v>
      </c>
      <c r="M477" t="s">
        <v>54</v>
      </c>
      <c r="N477" t="s">
        <v>40</v>
      </c>
      <c r="O477" t="s">
        <v>55</v>
      </c>
      <c r="P477">
        <v>0</v>
      </c>
    </row>
    <row r="478" spans="1:16" x14ac:dyDescent="0.3">
      <c r="A478" t="s">
        <v>1455</v>
      </c>
      <c r="B478" t="s">
        <v>1456</v>
      </c>
      <c r="C478" t="str">
        <f t="shared" si="14"/>
        <v>May</v>
      </c>
      <c r="D478">
        <f t="shared" si="15"/>
        <v>2025</v>
      </c>
      <c r="E478" t="s">
        <v>1457</v>
      </c>
      <c r="F478" t="s">
        <v>1059</v>
      </c>
      <c r="G478" t="s">
        <v>37</v>
      </c>
      <c r="H478" t="s">
        <v>38</v>
      </c>
      <c r="I478" t="s">
        <v>325</v>
      </c>
      <c r="J478">
        <v>254</v>
      </c>
      <c r="K478">
        <v>2</v>
      </c>
      <c r="L478">
        <v>508</v>
      </c>
      <c r="M478" t="s">
        <v>61</v>
      </c>
      <c r="N478" t="s">
        <v>24</v>
      </c>
      <c r="O478" t="s">
        <v>78</v>
      </c>
      <c r="P478">
        <v>16</v>
      </c>
    </row>
    <row r="479" spans="1:16" x14ac:dyDescent="0.3">
      <c r="A479" t="s">
        <v>1458</v>
      </c>
      <c r="B479" t="s">
        <v>1459</v>
      </c>
      <c r="C479" t="str">
        <f t="shared" si="14"/>
        <v>June</v>
      </c>
      <c r="D479">
        <f t="shared" si="15"/>
        <v>2025</v>
      </c>
      <c r="E479" t="s">
        <v>853</v>
      </c>
      <c r="F479" t="s">
        <v>1261</v>
      </c>
      <c r="G479" t="s">
        <v>46</v>
      </c>
      <c r="H479" t="s">
        <v>21</v>
      </c>
      <c r="I479" t="s">
        <v>109</v>
      </c>
      <c r="J479">
        <v>257</v>
      </c>
      <c r="K479">
        <v>3</v>
      </c>
      <c r="L479">
        <v>771</v>
      </c>
      <c r="M479" t="s">
        <v>61</v>
      </c>
      <c r="N479" t="s">
        <v>40</v>
      </c>
      <c r="O479" t="s">
        <v>78</v>
      </c>
      <c r="P479">
        <v>5</v>
      </c>
    </row>
    <row r="480" spans="1:16" x14ac:dyDescent="0.3">
      <c r="A480" t="s">
        <v>1460</v>
      </c>
      <c r="B480" t="s">
        <v>1461</v>
      </c>
      <c r="C480" t="str">
        <f t="shared" si="14"/>
        <v>October</v>
      </c>
      <c r="D480">
        <f t="shared" si="15"/>
        <v>2024</v>
      </c>
      <c r="E480" t="s">
        <v>1462</v>
      </c>
      <c r="F480" t="s">
        <v>313</v>
      </c>
      <c r="G480" t="s">
        <v>37</v>
      </c>
      <c r="H480" t="s">
        <v>21</v>
      </c>
      <c r="I480" t="s">
        <v>22</v>
      </c>
      <c r="J480">
        <v>230</v>
      </c>
      <c r="K480">
        <v>2</v>
      </c>
      <c r="L480">
        <v>460</v>
      </c>
      <c r="M480" t="s">
        <v>54</v>
      </c>
      <c r="N480" t="s">
        <v>48</v>
      </c>
      <c r="O480" t="s">
        <v>25</v>
      </c>
      <c r="P480">
        <v>27</v>
      </c>
    </row>
    <row r="481" spans="1:16" x14ac:dyDescent="0.3">
      <c r="A481" t="s">
        <v>1463</v>
      </c>
      <c r="B481" t="s">
        <v>1464</v>
      </c>
      <c r="C481" t="str">
        <f t="shared" si="14"/>
        <v>March</v>
      </c>
      <c r="D481">
        <f t="shared" si="15"/>
        <v>2025</v>
      </c>
      <c r="E481" t="s">
        <v>1465</v>
      </c>
      <c r="F481" t="s">
        <v>190</v>
      </c>
      <c r="G481" t="s">
        <v>46</v>
      </c>
      <c r="H481" t="s">
        <v>38</v>
      </c>
      <c r="I481" t="s">
        <v>325</v>
      </c>
      <c r="J481">
        <v>352</v>
      </c>
      <c r="K481">
        <v>5</v>
      </c>
      <c r="L481">
        <v>1760</v>
      </c>
      <c r="M481" t="s">
        <v>30</v>
      </c>
      <c r="N481" t="s">
        <v>24</v>
      </c>
      <c r="O481" t="s">
        <v>125</v>
      </c>
      <c r="P481">
        <v>13</v>
      </c>
    </row>
    <row r="482" spans="1:16" x14ac:dyDescent="0.3">
      <c r="A482" t="s">
        <v>1466</v>
      </c>
      <c r="B482" t="s">
        <v>1467</v>
      </c>
      <c r="C482" t="str">
        <f t="shared" si="14"/>
        <v>August</v>
      </c>
      <c r="D482">
        <f t="shared" si="15"/>
        <v>2025</v>
      </c>
      <c r="E482" t="s">
        <v>91</v>
      </c>
      <c r="F482" t="s">
        <v>1296</v>
      </c>
      <c r="G482" t="s">
        <v>20</v>
      </c>
      <c r="H482" t="s">
        <v>38</v>
      </c>
      <c r="I482" t="s">
        <v>130</v>
      </c>
      <c r="J482">
        <v>1467</v>
      </c>
      <c r="K482">
        <v>4</v>
      </c>
      <c r="L482">
        <v>5868</v>
      </c>
      <c r="M482" t="s">
        <v>61</v>
      </c>
      <c r="N482" t="s">
        <v>24</v>
      </c>
      <c r="O482" t="s">
        <v>55</v>
      </c>
      <c r="P482">
        <v>4</v>
      </c>
    </row>
    <row r="483" spans="1:16" x14ac:dyDescent="0.3">
      <c r="A483" t="s">
        <v>1468</v>
      </c>
      <c r="B483" t="s">
        <v>1469</v>
      </c>
      <c r="C483" t="str">
        <f t="shared" si="14"/>
        <v>April</v>
      </c>
      <c r="D483">
        <f t="shared" si="15"/>
        <v>2025</v>
      </c>
      <c r="E483" t="s">
        <v>429</v>
      </c>
      <c r="F483" t="s">
        <v>354</v>
      </c>
      <c r="G483" t="s">
        <v>46</v>
      </c>
      <c r="H483" t="s">
        <v>38</v>
      </c>
      <c r="I483" t="s">
        <v>130</v>
      </c>
      <c r="J483">
        <v>1463</v>
      </c>
      <c r="K483">
        <v>5</v>
      </c>
      <c r="L483">
        <v>7315</v>
      </c>
      <c r="M483" t="s">
        <v>54</v>
      </c>
      <c r="N483" t="s">
        <v>31</v>
      </c>
      <c r="O483" t="s">
        <v>84</v>
      </c>
      <c r="P483">
        <v>30</v>
      </c>
    </row>
    <row r="484" spans="1:16" x14ac:dyDescent="0.3">
      <c r="A484" t="s">
        <v>1470</v>
      </c>
      <c r="B484" t="s">
        <v>1471</v>
      </c>
      <c r="C484" t="str">
        <f t="shared" si="14"/>
        <v>February</v>
      </c>
      <c r="D484">
        <f t="shared" si="15"/>
        <v>2024</v>
      </c>
      <c r="E484" t="s">
        <v>670</v>
      </c>
      <c r="F484" t="s">
        <v>995</v>
      </c>
      <c r="G484" t="s">
        <v>37</v>
      </c>
      <c r="H484" t="s">
        <v>21</v>
      </c>
      <c r="I484" t="s">
        <v>77</v>
      </c>
      <c r="J484">
        <v>860</v>
      </c>
      <c r="K484">
        <v>1</v>
      </c>
      <c r="L484">
        <v>860</v>
      </c>
      <c r="M484" t="s">
        <v>30</v>
      </c>
      <c r="N484" t="s">
        <v>40</v>
      </c>
      <c r="O484" t="s">
        <v>78</v>
      </c>
      <c r="P484">
        <v>9</v>
      </c>
    </row>
    <row r="485" spans="1:16" x14ac:dyDescent="0.3">
      <c r="A485" t="s">
        <v>1472</v>
      </c>
      <c r="B485" t="s">
        <v>1473</v>
      </c>
      <c r="C485" t="str">
        <f t="shared" si="14"/>
        <v>January</v>
      </c>
      <c r="D485">
        <f t="shared" si="15"/>
        <v>2024</v>
      </c>
      <c r="E485" t="s">
        <v>1474</v>
      </c>
      <c r="F485" t="s">
        <v>1475</v>
      </c>
      <c r="G485" t="s">
        <v>20</v>
      </c>
      <c r="H485" t="s">
        <v>21</v>
      </c>
      <c r="I485" t="s">
        <v>114</v>
      </c>
      <c r="J485">
        <v>253</v>
      </c>
      <c r="K485">
        <v>5</v>
      </c>
      <c r="L485">
        <v>1265</v>
      </c>
      <c r="M485" t="s">
        <v>23</v>
      </c>
      <c r="N485" t="s">
        <v>40</v>
      </c>
      <c r="O485" t="s">
        <v>62</v>
      </c>
      <c r="P485">
        <v>24</v>
      </c>
    </row>
    <row r="486" spans="1:16" x14ac:dyDescent="0.3">
      <c r="A486" t="s">
        <v>1476</v>
      </c>
      <c r="B486" t="s">
        <v>1477</v>
      </c>
      <c r="C486" t="str">
        <f t="shared" si="14"/>
        <v>July</v>
      </c>
      <c r="D486">
        <f t="shared" si="15"/>
        <v>2025</v>
      </c>
      <c r="E486" t="s">
        <v>1478</v>
      </c>
      <c r="F486" t="s">
        <v>1436</v>
      </c>
      <c r="G486" t="s">
        <v>20</v>
      </c>
      <c r="H486" t="s">
        <v>21</v>
      </c>
      <c r="I486" t="s">
        <v>77</v>
      </c>
      <c r="J486">
        <v>915</v>
      </c>
      <c r="K486">
        <v>1</v>
      </c>
      <c r="L486">
        <v>915</v>
      </c>
      <c r="M486" t="s">
        <v>61</v>
      </c>
      <c r="N486" t="s">
        <v>31</v>
      </c>
      <c r="O486" t="s">
        <v>25</v>
      </c>
      <c r="P486">
        <v>24</v>
      </c>
    </row>
    <row r="487" spans="1:16" x14ac:dyDescent="0.3">
      <c r="A487" t="s">
        <v>1479</v>
      </c>
      <c r="B487" t="s">
        <v>341</v>
      </c>
      <c r="C487" t="str">
        <f t="shared" si="14"/>
        <v>August</v>
      </c>
      <c r="D487">
        <f t="shared" si="15"/>
        <v>2024</v>
      </c>
      <c r="E487" t="s">
        <v>509</v>
      </c>
      <c r="F487" t="s">
        <v>911</v>
      </c>
      <c r="G487" t="s">
        <v>46</v>
      </c>
      <c r="H487" t="s">
        <v>21</v>
      </c>
      <c r="I487" t="s">
        <v>77</v>
      </c>
      <c r="J487">
        <v>633</v>
      </c>
      <c r="K487">
        <v>3</v>
      </c>
      <c r="L487">
        <v>1899</v>
      </c>
      <c r="M487" t="s">
        <v>54</v>
      </c>
      <c r="N487" t="s">
        <v>24</v>
      </c>
      <c r="O487" t="s">
        <v>41</v>
      </c>
      <c r="P487">
        <v>6</v>
      </c>
    </row>
    <row r="488" spans="1:16" x14ac:dyDescent="0.3">
      <c r="A488" t="s">
        <v>1480</v>
      </c>
      <c r="B488" t="s">
        <v>1067</v>
      </c>
      <c r="C488" t="str">
        <f t="shared" si="14"/>
        <v>January</v>
      </c>
      <c r="D488">
        <f t="shared" si="15"/>
        <v>2025</v>
      </c>
      <c r="E488" t="s">
        <v>328</v>
      </c>
      <c r="F488" t="s">
        <v>1421</v>
      </c>
      <c r="G488" t="s">
        <v>20</v>
      </c>
      <c r="H488" t="s">
        <v>71</v>
      </c>
      <c r="I488" t="s">
        <v>124</v>
      </c>
      <c r="J488">
        <v>1034</v>
      </c>
      <c r="K488">
        <v>4</v>
      </c>
      <c r="L488">
        <v>4136</v>
      </c>
      <c r="M488" t="s">
        <v>23</v>
      </c>
      <c r="N488" t="s">
        <v>48</v>
      </c>
      <c r="O488" t="s">
        <v>84</v>
      </c>
      <c r="P488">
        <v>5</v>
      </c>
    </row>
    <row r="489" spans="1:16" x14ac:dyDescent="0.3">
      <c r="A489" t="s">
        <v>1481</v>
      </c>
      <c r="B489" t="s">
        <v>1452</v>
      </c>
      <c r="C489" t="str">
        <f t="shared" si="14"/>
        <v>December</v>
      </c>
      <c r="D489">
        <f t="shared" si="15"/>
        <v>2024</v>
      </c>
      <c r="E489" t="s">
        <v>1482</v>
      </c>
      <c r="F489" t="s">
        <v>977</v>
      </c>
      <c r="G489" t="s">
        <v>37</v>
      </c>
      <c r="H489" t="s">
        <v>38</v>
      </c>
      <c r="I489" t="s">
        <v>60</v>
      </c>
      <c r="J489">
        <v>887</v>
      </c>
      <c r="K489">
        <v>3</v>
      </c>
      <c r="L489">
        <v>2661</v>
      </c>
      <c r="M489" t="s">
        <v>30</v>
      </c>
      <c r="N489" t="s">
        <v>31</v>
      </c>
      <c r="O489" t="s">
        <v>55</v>
      </c>
      <c r="P489">
        <v>21</v>
      </c>
    </row>
    <row r="490" spans="1:16" x14ac:dyDescent="0.3">
      <c r="A490" t="s">
        <v>1483</v>
      </c>
      <c r="B490" t="s">
        <v>760</v>
      </c>
      <c r="C490" t="str">
        <f t="shared" si="14"/>
        <v>April</v>
      </c>
      <c r="D490">
        <f t="shared" si="15"/>
        <v>2025</v>
      </c>
      <c r="E490" t="s">
        <v>1394</v>
      </c>
      <c r="F490" t="s">
        <v>1264</v>
      </c>
      <c r="G490" t="s">
        <v>37</v>
      </c>
      <c r="H490" t="s">
        <v>71</v>
      </c>
      <c r="I490" t="s">
        <v>72</v>
      </c>
      <c r="J490">
        <v>1081</v>
      </c>
      <c r="K490">
        <v>3</v>
      </c>
      <c r="L490">
        <v>3243</v>
      </c>
      <c r="M490" t="s">
        <v>30</v>
      </c>
      <c r="N490" t="s">
        <v>24</v>
      </c>
      <c r="O490" t="s">
        <v>32</v>
      </c>
      <c r="P490">
        <v>2</v>
      </c>
    </row>
    <row r="491" spans="1:16" x14ac:dyDescent="0.3">
      <c r="A491" t="s">
        <v>1484</v>
      </c>
      <c r="B491" t="s">
        <v>1184</v>
      </c>
      <c r="C491" t="str">
        <f t="shared" si="14"/>
        <v>May</v>
      </c>
      <c r="D491">
        <f t="shared" si="15"/>
        <v>2025</v>
      </c>
      <c r="E491" t="s">
        <v>1485</v>
      </c>
      <c r="F491" t="s">
        <v>846</v>
      </c>
      <c r="G491" t="s">
        <v>20</v>
      </c>
      <c r="H491" t="s">
        <v>71</v>
      </c>
      <c r="I491" t="s">
        <v>119</v>
      </c>
      <c r="J491">
        <v>765</v>
      </c>
      <c r="K491">
        <v>2</v>
      </c>
      <c r="L491">
        <v>1530</v>
      </c>
      <c r="M491" t="s">
        <v>23</v>
      </c>
      <c r="N491" t="s">
        <v>24</v>
      </c>
      <c r="O491" t="s">
        <v>78</v>
      </c>
      <c r="P491">
        <v>4</v>
      </c>
    </row>
    <row r="492" spans="1:16" x14ac:dyDescent="0.3">
      <c r="A492" t="s">
        <v>1486</v>
      </c>
      <c r="B492" t="s">
        <v>1487</v>
      </c>
      <c r="C492" t="str">
        <f t="shared" si="14"/>
        <v>August</v>
      </c>
      <c r="D492">
        <f t="shared" si="15"/>
        <v>2025</v>
      </c>
      <c r="E492" t="s">
        <v>853</v>
      </c>
      <c r="F492" t="s">
        <v>854</v>
      </c>
      <c r="G492" t="s">
        <v>37</v>
      </c>
      <c r="H492" t="s">
        <v>71</v>
      </c>
      <c r="I492" t="s">
        <v>83</v>
      </c>
      <c r="J492">
        <v>212</v>
      </c>
      <c r="K492">
        <v>4</v>
      </c>
      <c r="L492">
        <v>848</v>
      </c>
      <c r="M492" t="s">
        <v>138</v>
      </c>
      <c r="N492" t="s">
        <v>40</v>
      </c>
      <c r="O492" t="s">
        <v>41</v>
      </c>
      <c r="P492">
        <v>25</v>
      </c>
    </row>
    <row r="493" spans="1:16" x14ac:dyDescent="0.3">
      <c r="A493" t="s">
        <v>1488</v>
      </c>
      <c r="B493" t="s">
        <v>1489</v>
      </c>
      <c r="C493" t="str">
        <f t="shared" si="14"/>
        <v>May</v>
      </c>
      <c r="D493">
        <f t="shared" si="15"/>
        <v>2024</v>
      </c>
      <c r="E493" t="s">
        <v>1490</v>
      </c>
      <c r="F493" t="s">
        <v>1491</v>
      </c>
      <c r="G493" t="s">
        <v>46</v>
      </c>
      <c r="H493" t="s">
        <v>38</v>
      </c>
      <c r="I493" t="s">
        <v>130</v>
      </c>
      <c r="J493">
        <v>657</v>
      </c>
      <c r="K493">
        <v>1</v>
      </c>
      <c r="L493">
        <v>657</v>
      </c>
      <c r="M493" t="s">
        <v>30</v>
      </c>
      <c r="N493" t="s">
        <v>24</v>
      </c>
      <c r="O493" t="s">
        <v>55</v>
      </c>
      <c r="P493">
        <v>30</v>
      </c>
    </row>
    <row r="494" spans="1:16" x14ac:dyDescent="0.3">
      <c r="A494" t="s">
        <v>1492</v>
      </c>
      <c r="B494" t="s">
        <v>1493</v>
      </c>
      <c r="C494" t="str">
        <f t="shared" si="14"/>
        <v>April</v>
      </c>
      <c r="D494">
        <f t="shared" si="15"/>
        <v>2025</v>
      </c>
      <c r="E494" t="s">
        <v>1494</v>
      </c>
      <c r="F494" t="s">
        <v>741</v>
      </c>
      <c r="G494" t="s">
        <v>20</v>
      </c>
      <c r="H494" t="s">
        <v>38</v>
      </c>
      <c r="I494" t="s">
        <v>60</v>
      </c>
      <c r="J494">
        <v>1395</v>
      </c>
      <c r="K494">
        <v>4</v>
      </c>
      <c r="L494">
        <v>5580</v>
      </c>
      <c r="M494" t="s">
        <v>23</v>
      </c>
      <c r="N494" t="s">
        <v>24</v>
      </c>
      <c r="O494" t="s">
        <v>62</v>
      </c>
      <c r="P494">
        <v>27</v>
      </c>
    </row>
    <row r="495" spans="1:16" x14ac:dyDescent="0.3">
      <c r="A495" t="s">
        <v>1495</v>
      </c>
      <c r="B495" t="s">
        <v>834</v>
      </c>
      <c r="C495" t="str">
        <f t="shared" si="14"/>
        <v>July</v>
      </c>
      <c r="D495">
        <f t="shared" si="15"/>
        <v>2025</v>
      </c>
      <c r="E495" t="s">
        <v>1496</v>
      </c>
      <c r="F495" t="s">
        <v>539</v>
      </c>
      <c r="G495" t="s">
        <v>37</v>
      </c>
      <c r="H495" t="s">
        <v>38</v>
      </c>
      <c r="I495" t="s">
        <v>130</v>
      </c>
      <c r="J495">
        <v>726</v>
      </c>
      <c r="K495">
        <v>2</v>
      </c>
      <c r="L495">
        <v>1452</v>
      </c>
      <c r="M495" t="s">
        <v>61</v>
      </c>
      <c r="N495" t="s">
        <v>40</v>
      </c>
      <c r="O495" t="s">
        <v>62</v>
      </c>
      <c r="P495">
        <v>5</v>
      </c>
    </row>
    <row r="496" spans="1:16" x14ac:dyDescent="0.3">
      <c r="A496" t="s">
        <v>1497</v>
      </c>
      <c r="B496" t="s">
        <v>284</v>
      </c>
      <c r="C496" t="str">
        <f t="shared" si="14"/>
        <v>June</v>
      </c>
      <c r="D496">
        <f t="shared" si="15"/>
        <v>2025</v>
      </c>
      <c r="E496" t="s">
        <v>1498</v>
      </c>
      <c r="F496" t="s">
        <v>146</v>
      </c>
      <c r="G496" t="s">
        <v>20</v>
      </c>
      <c r="H496" t="s">
        <v>21</v>
      </c>
      <c r="I496" t="s">
        <v>114</v>
      </c>
      <c r="J496">
        <v>603</v>
      </c>
      <c r="K496">
        <v>4</v>
      </c>
      <c r="L496">
        <v>2412</v>
      </c>
      <c r="M496" t="s">
        <v>30</v>
      </c>
      <c r="N496" t="s">
        <v>48</v>
      </c>
      <c r="O496" t="s">
        <v>25</v>
      </c>
      <c r="P496">
        <v>24</v>
      </c>
    </row>
    <row r="497" spans="1:16" x14ac:dyDescent="0.3">
      <c r="A497" t="s">
        <v>1499</v>
      </c>
      <c r="B497" t="s">
        <v>1500</v>
      </c>
      <c r="C497" t="str">
        <f t="shared" si="14"/>
        <v>December</v>
      </c>
      <c r="D497">
        <f t="shared" si="15"/>
        <v>2024</v>
      </c>
      <c r="E497" t="s">
        <v>1214</v>
      </c>
      <c r="F497" t="s">
        <v>321</v>
      </c>
      <c r="G497" t="s">
        <v>37</v>
      </c>
      <c r="H497" t="s">
        <v>38</v>
      </c>
      <c r="I497" t="s">
        <v>325</v>
      </c>
      <c r="J497">
        <v>373</v>
      </c>
      <c r="K497">
        <v>5</v>
      </c>
      <c r="L497">
        <v>1865</v>
      </c>
      <c r="M497" t="s">
        <v>54</v>
      </c>
      <c r="N497" t="s">
        <v>48</v>
      </c>
      <c r="O497" t="s">
        <v>62</v>
      </c>
      <c r="P497">
        <v>13</v>
      </c>
    </row>
    <row r="498" spans="1:16" x14ac:dyDescent="0.3">
      <c r="A498" t="s">
        <v>1501</v>
      </c>
      <c r="B498" t="s">
        <v>1502</v>
      </c>
      <c r="C498" t="str">
        <f t="shared" si="14"/>
        <v>May</v>
      </c>
      <c r="D498">
        <f t="shared" si="15"/>
        <v>2025</v>
      </c>
      <c r="E498" t="s">
        <v>1378</v>
      </c>
      <c r="F498" t="s">
        <v>709</v>
      </c>
      <c r="G498" t="s">
        <v>46</v>
      </c>
      <c r="H498" t="s">
        <v>38</v>
      </c>
      <c r="I498" t="s">
        <v>325</v>
      </c>
      <c r="J498">
        <v>628</v>
      </c>
      <c r="K498">
        <v>2</v>
      </c>
      <c r="L498">
        <v>1256</v>
      </c>
      <c r="M498" t="s">
        <v>23</v>
      </c>
      <c r="N498" t="s">
        <v>40</v>
      </c>
      <c r="O498" t="s">
        <v>78</v>
      </c>
      <c r="P498">
        <v>3</v>
      </c>
    </row>
    <row r="499" spans="1:16" x14ac:dyDescent="0.3">
      <c r="A499" t="s">
        <v>1503</v>
      </c>
      <c r="B499" t="s">
        <v>1504</v>
      </c>
      <c r="C499" t="str">
        <f t="shared" si="14"/>
        <v>July</v>
      </c>
      <c r="D499">
        <f t="shared" si="15"/>
        <v>2025</v>
      </c>
      <c r="E499" t="s">
        <v>1505</v>
      </c>
      <c r="F499" t="s">
        <v>88</v>
      </c>
      <c r="G499" t="s">
        <v>37</v>
      </c>
      <c r="H499" t="s">
        <v>38</v>
      </c>
      <c r="I499" t="s">
        <v>60</v>
      </c>
      <c r="J499">
        <v>478</v>
      </c>
      <c r="K499">
        <v>4</v>
      </c>
      <c r="L499">
        <v>1912</v>
      </c>
      <c r="M499" t="s">
        <v>138</v>
      </c>
      <c r="N499" t="s">
        <v>31</v>
      </c>
      <c r="O499" t="s">
        <v>62</v>
      </c>
      <c r="P499">
        <v>25</v>
      </c>
    </row>
    <row r="500" spans="1:16" x14ac:dyDescent="0.3">
      <c r="A500" t="s">
        <v>1506</v>
      </c>
      <c r="B500" t="s">
        <v>1507</v>
      </c>
      <c r="C500" t="str">
        <f t="shared" si="14"/>
        <v>September</v>
      </c>
      <c r="D500">
        <f t="shared" si="15"/>
        <v>2024</v>
      </c>
      <c r="E500" t="s">
        <v>1080</v>
      </c>
      <c r="F500" t="s">
        <v>218</v>
      </c>
      <c r="G500" t="s">
        <v>20</v>
      </c>
      <c r="H500" t="s">
        <v>71</v>
      </c>
      <c r="I500" t="s">
        <v>96</v>
      </c>
      <c r="J500">
        <v>560</v>
      </c>
      <c r="K500">
        <v>1</v>
      </c>
      <c r="L500">
        <v>560</v>
      </c>
      <c r="M500" t="s">
        <v>61</v>
      </c>
      <c r="N500" t="s">
        <v>31</v>
      </c>
      <c r="O500" t="s">
        <v>78</v>
      </c>
      <c r="P500">
        <v>21</v>
      </c>
    </row>
    <row r="501" spans="1:16" x14ac:dyDescent="0.3">
      <c r="A501" t="s">
        <v>1508</v>
      </c>
      <c r="B501" t="s">
        <v>1509</v>
      </c>
      <c r="C501" t="str">
        <f t="shared" si="14"/>
        <v>January</v>
      </c>
      <c r="D501">
        <f t="shared" si="15"/>
        <v>2024</v>
      </c>
      <c r="E501" t="s">
        <v>1510</v>
      </c>
      <c r="F501" t="s">
        <v>129</v>
      </c>
      <c r="G501" t="s">
        <v>20</v>
      </c>
      <c r="H501" t="s">
        <v>21</v>
      </c>
      <c r="I501" t="s">
        <v>22</v>
      </c>
      <c r="J501">
        <v>423</v>
      </c>
      <c r="K501">
        <v>2</v>
      </c>
      <c r="L501">
        <v>846</v>
      </c>
      <c r="M501" t="s">
        <v>61</v>
      </c>
      <c r="N501" t="s">
        <v>48</v>
      </c>
      <c r="O501" t="s">
        <v>55</v>
      </c>
      <c r="P501">
        <v>29</v>
      </c>
    </row>
    <row r="502" spans="1:16" x14ac:dyDescent="0.3">
      <c r="A502" t="s">
        <v>1511</v>
      </c>
      <c r="B502" t="s">
        <v>1184</v>
      </c>
      <c r="C502" t="str">
        <f t="shared" si="14"/>
        <v>May</v>
      </c>
      <c r="D502">
        <f t="shared" si="15"/>
        <v>2025</v>
      </c>
      <c r="E502" t="s">
        <v>1343</v>
      </c>
      <c r="F502" t="s">
        <v>218</v>
      </c>
      <c r="G502" t="s">
        <v>20</v>
      </c>
      <c r="H502" t="s">
        <v>71</v>
      </c>
      <c r="I502" t="s">
        <v>72</v>
      </c>
      <c r="J502">
        <v>1339</v>
      </c>
      <c r="K502">
        <v>5</v>
      </c>
      <c r="L502">
        <v>6695</v>
      </c>
      <c r="M502" t="s">
        <v>61</v>
      </c>
      <c r="N502" t="s">
        <v>31</v>
      </c>
      <c r="O502" t="s">
        <v>78</v>
      </c>
      <c r="P502">
        <v>10</v>
      </c>
    </row>
    <row r="503" spans="1:16" x14ac:dyDescent="0.3">
      <c r="A503" t="s">
        <v>1512</v>
      </c>
      <c r="B503" t="s">
        <v>1513</v>
      </c>
      <c r="C503" t="str">
        <f t="shared" si="14"/>
        <v>January</v>
      </c>
      <c r="D503">
        <f t="shared" si="15"/>
        <v>2025</v>
      </c>
      <c r="E503" t="s">
        <v>564</v>
      </c>
      <c r="F503" t="s">
        <v>1514</v>
      </c>
      <c r="G503" t="s">
        <v>46</v>
      </c>
      <c r="H503" t="s">
        <v>21</v>
      </c>
      <c r="I503" t="s">
        <v>53</v>
      </c>
      <c r="J503">
        <v>317</v>
      </c>
      <c r="K503">
        <v>2</v>
      </c>
      <c r="L503">
        <v>634</v>
      </c>
      <c r="M503" t="s">
        <v>61</v>
      </c>
      <c r="N503" t="s">
        <v>40</v>
      </c>
      <c r="O503" t="s">
        <v>84</v>
      </c>
      <c r="P503">
        <v>11</v>
      </c>
    </row>
    <row r="504" spans="1:16" x14ac:dyDescent="0.3">
      <c r="A504" t="s">
        <v>1515</v>
      </c>
      <c r="B504" t="s">
        <v>437</v>
      </c>
      <c r="C504" t="str">
        <f t="shared" si="14"/>
        <v>February</v>
      </c>
      <c r="D504">
        <f t="shared" si="15"/>
        <v>2024</v>
      </c>
      <c r="E504" t="s">
        <v>1080</v>
      </c>
      <c r="F504" t="s">
        <v>369</v>
      </c>
      <c r="G504" t="s">
        <v>46</v>
      </c>
      <c r="H504" t="s">
        <v>38</v>
      </c>
      <c r="I504" t="s">
        <v>325</v>
      </c>
      <c r="J504">
        <v>421</v>
      </c>
      <c r="K504">
        <v>2</v>
      </c>
      <c r="L504">
        <v>842</v>
      </c>
      <c r="M504" t="s">
        <v>54</v>
      </c>
      <c r="N504" t="s">
        <v>48</v>
      </c>
      <c r="O504" t="s">
        <v>84</v>
      </c>
      <c r="P504">
        <v>27</v>
      </c>
    </row>
    <row r="505" spans="1:16" x14ac:dyDescent="0.3">
      <c r="A505" t="s">
        <v>1516</v>
      </c>
      <c r="B505" t="s">
        <v>233</v>
      </c>
      <c r="C505" t="str">
        <f t="shared" si="14"/>
        <v>September</v>
      </c>
      <c r="D505">
        <f t="shared" si="15"/>
        <v>2024</v>
      </c>
      <c r="E505" t="s">
        <v>1517</v>
      </c>
      <c r="F505" t="s">
        <v>298</v>
      </c>
      <c r="G505" t="s">
        <v>37</v>
      </c>
      <c r="H505" t="s">
        <v>21</v>
      </c>
      <c r="I505" t="s">
        <v>53</v>
      </c>
      <c r="J505">
        <v>1135</v>
      </c>
      <c r="K505">
        <v>3</v>
      </c>
      <c r="L505">
        <v>3405</v>
      </c>
      <c r="M505" t="s">
        <v>138</v>
      </c>
      <c r="N505" t="s">
        <v>40</v>
      </c>
      <c r="O505" t="s">
        <v>62</v>
      </c>
      <c r="P505">
        <v>27</v>
      </c>
    </row>
    <row r="506" spans="1:16" x14ac:dyDescent="0.3">
      <c r="A506" t="s">
        <v>1518</v>
      </c>
      <c r="B506" t="s">
        <v>1519</v>
      </c>
      <c r="C506" t="str">
        <f t="shared" si="14"/>
        <v>August</v>
      </c>
      <c r="D506">
        <f t="shared" si="15"/>
        <v>2024</v>
      </c>
      <c r="E506" t="s">
        <v>1520</v>
      </c>
      <c r="F506" t="s">
        <v>510</v>
      </c>
      <c r="G506" t="s">
        <v>37</v>
      </c>
      <c r="H506" t="s">
        <v>38</v>
      </c>
      <c r="I506" t="s">
        <v>47</v>
      </c>
      <c r="J506">
        <v>1360</v>
      </c>
      <c r="K506">
        <v>4</v>
      </c>
      <c r="L506">
        <v>5440</v>
      </c>
      <c r="M506" t="s">
        <v>30</v>
      </c>
      <c r="N506" t="s">
        <v>31</v>
      </c>
      <c r="O506" t="s">
        <v>125</v>
      </c>
      <c r="P506">
        <v>2</v>
      </c>
    </row>
    <row r="507" spans="1:16" x14ac:dyDescent="0.3">
      <c r="A507" t="s">
        <v>1521</v>
      </c>
      <c r="B507" t="s">
        <v>1522</v>
      </c>
      <c r="C507" t="str">
        <f t="shared" si="14"/>
        <v>December</v>
      </c>
      <c r="D507">
        <f t="shared" si="15"/>
        <v>2024</v>
      </c>
      <c r="E507" t="s">
        <v>1523</v>
      </c>
      <c r="F507" t="s">
        <v>1524</v>
      </c>
      <c r="G507" t="s">
        <v>20</v>
      </c>
      <c r="H507" t="s">
        <v>21</v>
      </c>
      <c r="I507" t="s">
        <v>77</v>
      </c>
      <c r="J507">
        <v>1391</v>
      </c>
      <c r="K507">
        <v>3</v>
      </c>
      <c r="L507">
        <v>4173</v>
      </c>
      <c r="M507" t="s">
        <v>54</v>
      </c>
      <c r="N507" t="s">
        <v>48</v>
      </c>
      <c r="O507" t="s">
        <v>84</v>
      </c>
      <c r="P507">
        <v>16</v>
      </c>
    </row>
    <row r="508" spans="1:16" x14ac:dyDescent="0.3">
      <c r="A508" t="s">
        <v>1525</v>
      </c>
      <c r="B508" t="s">
        <v>498</v>
      </c>
      <c r="C508" t="str">
        <f t="shared" si="14"/>
        <v>July</v>
      </c>
      <c r="D508">
        <f t="shared" si="15"/>
        <v>2025</v>
      </c>
      <c r="E508" t="s">
        <v>1526</v>
      </c>
      <c r="F508" t="s">
        <v>471</v>
      </c>
      <c r="G508" t="s">
        <v>37</v>
      </c>
      <c r="H508" t="s">
        <v>71</v>
      </c>
      <c r="I508" t="s">
        <v>72</v>
      </c>
      <c r="J508">
        <v>313</v>
      </c>
      <c r="K508">
        <v>5</v>
      </c>
      <c r="L508">
        <v>1565</v>
      </c>
      <c r="M508" t="s">
        <v>23</v>
      </c>
      <c r="N508" t="s">
        <v>24</v>
      </c>
      <c r="O508" t="s">
        <v>125</v>
      </c>
      <c r="P508">
        <v>15</v>
      </c>
    </row>
    <row r="509" spans="1:16" x14ac:dyDescent="0.3">
      <c r="A509" t="s">
        <v>1527</v>
      </c>
      <c r="B509" t="s">
        <v>1222</v>
      </c>
      <c r="C509" t="str">
        <f t="shared" si="14"/>
        <v>March</v>
      </c>
      <c r="D509">
        <f t="shared" si="15"/>
        <v>2025</v>
      </c>
      <c r="E509" t="s">
        <v>1528</v>
      </c>
      <c r="F509" t="s">
        <v>730</v>
      </c>
      <c r="G509" t="s">
        <v>20</v>
      </c>
      <c r="H509" t="s">
        <v>71</v>
      </c>
      <c r="I509" t="s">
        <v>72</v>
      </c>
      <c r="J509">
        <v>779</v>
      </c>
      <c r="K509">
        <v>5</v>
      </c>
      <c r="L509">
        <v>3895</v>
      </c>
      <c r="M509" t="s">
        <v>30</v>
      </c>
      <c r="N509" t="s">
        <v>31</v>
      </c>
      <c r="O509" t="s">
        <v>41</v>
      </c>
      <c r="P509">
        <v>9</v>
      </c>
    </row>
    <row r="510" spans="1:16" x14ac:dyDescent="0.3">
      <c r="A510" t="s">
        <v>1529</v>
      </c>
      <c r="B510" t="s">
        <v>606</v>
      </c>
      <c r="C510" t="str">
        <f t="shared" si="14"/>
        <v>May</v>
      </c>
      <c r="D510">
        <f t="shared" si="15"/>
        <v>2025</v>
      </c>
      <c r="E510" t="s">
        <v>157</v>
      </c>
      <c r="F510" t="s">
        <v>585</v>
      </c>
      <c r="G510" t="s">
        <v>46</v>
      </c>
      <c r="H510" t="s">
        <v>38</v>
      </c>
      <c r="I510" t="s">
        <v>60</v>
      </c>
      <c r="J510">
        <v>423</v>
      </c>
      <c r="K510">
        <v>1</v>
      </c>
      <c r="L510">
        <v>423</v>
      </c>
      <c r="M510" t="s">
        <v>30</v>
      </c>
      <c r="N510" t="s">
        <v>31</v>
      </c>
      <c r="O510" t="s">
        <v>84</v>
      </c>
      <c r="P510">
        <v>22</v>
      </c>
    </row>
    <row r="511" spans="1:16" x14ac:dyDescent="0.3">
      <c r="A511" t="s">
        <v>1530</v>
      </c>
      <c r="B511" t="s">
        <v>1531</v>
      </c>
      <c r="C511" t="str">
        <f t="shared" si="14"/>
        <v>June</v>
      </c>
      <c r="D511">
        <f t="shared" si="15"/>
        <v>2025</v>
      </c>
      <c r="E511" t="s">
        <v>161</v>
      </c>
      <c r="F511" t="s">
        <v>1532</v>
      </c>
      <c r="G511" t="s">
        <v>37</v>
      </c>
      <c r="H511" t="s">
        <v>71</v>
      </c>
      <c r="I511" t="s">
        <v>96</v>
      </c>
      <c r="J511">
        <v>600</v>
      </c>
      <c r="K511">
        <v>2</v>
      </c>
      <c r="L511">
        <v>1200</v>
      </c>
      <c r="M511" t="s">
        <v>23</v>
      </c>
      <c r="N511" t="s">
        <v>48</v>
      </c>
      <c r="O511" t="s">
        <v>84</v>
      </c>
      <c r="P511">
        <v>2</v>
      </c>
    </row>
    <row r="512" spans="1:16" x14ac:dyDescent="0.3">
      <c r="A512" t="s">
        <v>1533</v>
      </c>
      <c r="B512" t="s">
        <v>505</v>
      </c>
      <c r="C512" t="str">
        <f t="shared" si="14"/>
        <v>August</v>
      </c>
      <c r="D512">
        <f t="shared" si="15"/>
        <v>2025</v>
      </c>
      <c r="E512" t="s">
        <v>1534</v>
      </c>
      <c r="F512" t="s">
        <v>392</v>
      </c>
      <c r="G512" t="s">
        <v>46</v>
      </c>
      <c r="H512" t="s">
        <v>38</v>
      </c>
      <c r="I512" t="s">
        <v>39</v>
      </c>
      <c r="J512">
        <v>655</v>
      </c>
      <c r="K512">
        <v>1</v>
      </c>
      <c r="L512">
        <v>655</v>
      </c>
      <c r="M512" t="s">
        <v>61</v>
      </c>
      <c r="N512" t="s">
        <v>40</v>
      </c>
      <c r="O512" t="s">
        <v>32</v>
      </c>
      <c r="P512">
        <v>27</v>
      </c>
    </row>
    <row r="513" spans="1:16" x14ac:dyDescent="0.3">
      <c r="A513" t="s">
        <v>1535</v>
      </c>
      <c r="B513" t="s">
        <v>1536</v>
      </c>
      <c r="C513" t="str">
        <f t="shared" si="14"/>
        <v>August</v>
      </c>
      <c r="D513">
        <f t="shared" si="15"/>
        <v>2025</v>
      </c>
      <c r="E513" t="s">
        <v>1384</v>
      </c>
      <c r="F513" t="s">
        <v>517</v>
      </c>
      <c r="G513" t="s">
        <v>46</v>
      </c>
      <c r="H513" t="s">
        <v>21</v>
      </c>
      <c r="I513" t="s">
        <v>109</v>
      </c>
      <c r="J513">
        <v>1398</v>
      </c>
      <c r="K513">
        <v>1</v>
      </c>
      <c r="L513">
        <v>1398</v>
      </c>
      <c r="M513" t="s">
        <v>30</v>
      </c>
      <c r="N513" t="s">
        <v>24</v>
      </c>
      <c r="O513" t="s">
        <v>32</v>
      </c>
      <c r="P513">
        <v>2</v>
      </c>
    </row>
    <row r="514" spans="1:16" x14ac:dyDescent="0.3">
      <c r="A514" t="s">
        <v>1537</v>
      </c>
      <c r="B514" t="s">
        <v>216</v>
      </c>
      <c r="C514" t="str">
        <f t="shared" si="14"/>
        <v>August</v>
      </c>
      <c r="D514">
        <f t="shared" si="15"/>
        <v>2025</v>
      </c>
      <c r="E514" t="s">
        <v>1538</v>
      </c>
      <c r="F514" t="s">
        <v>762</v>
      </c>
      <c r="G514" t="s">
        <v>37</v>
      </c>
      <c r="H514" t="s">
        <v>21</v>
      </c>
      <c r="I514" t="s">
        <v>53</v>
      </c>
      <c r="J514">
        <v>291</v>
      </c>
      <c r="K514">
        <v>3</v>
      </c>
      <c r="L514">
        <v>873</v>
      </c>
      <c r="M514" t="s">
        <v>30</v>
      </c>
      <c r="N514" t="s">
        <v>31</v>
      </c>
      <c r="O514" t="s">
        <v>55</v>
      </c>
      <c r="P514">
        <v>11</v>
      </c>
    </row>
    <row r="515" spans="1:16" x14ac:dyDescent="0.3">
      <c r="A515" t="s">
        <v>1539</v>
      </c>
      <c r="B515" t="s">
        <v>1540</v>
      </c>
      <c r="C515" t="str">
        <f t="shared" ref="C515:C578" si="16">TEXT(B515,"MMMM")</f>
        <v>April</v>
      </c>
      <c r="D515">
        <f t="shared" ref="D515:D578" si="17">YEAR(B515)</f>
        <v>2025</v>
      </c>
      <c r="E515" t="s">
        <v>1541</v>
      </c>
      <c r="F515" t="s">
        <v>1542</v>
      </c>
      <c r="G515" t="s">
        <v>46</v>
      </c>
      <c r="H515" t="s">
        <v>38</v>
      </c>
      <c r="I515" t="s">
        <v>325</v>
      </c>
      <c r="J515">
        <v>951</v>
      </c>
      <c r="K515">
        <v>3</v>
      </c>
      <c r="L515">
        <v>2853</v>
      </c>
      <c r="M515" t="s">
        <v>54</v>
      </c>
      <c r="N515" t="s">
        <v>24</v>
      </c>
      <c r="O515" t="s">
        <v>25</v>
      </c>
      <c r="P515">
        <v>16</v>
      </c>
    </row>
    <row r="516" spans="1:16" x14ac:dyDescent="0.3">
      <c r="A516" t="s">
        <v>1543</v>
      </c>
      <c r="B516" t="s">
        <v>327</v>
      </c>
      <c r="C516" t="str">
        <f t="shared" si="16"/>
        <v>January</v>
      </c>
      <c r="D516">
        <f t="shared" si="17"/>
        <v>2025</v>
      </c>
      <c r="E516" t="s">
        <v>1544</v>
      </c>
      <c r="F516" t="s">
        <v>271</v>
      </c>
      <c r="G516" t="s">
        <v>37</v>
      </c>
      <c r="H516" t="s">
        <v>71</v>
      </c>
      <c r="I516" t="s">
        <v>72</v>
      </c>
      <c r="J516">
        <v>507</v>
      </c>
      <c r="K516">
        <v>4</v>
      </c>
      <c r="L516">
        <v>2028</v>
      </c>
      <c r="M516" t="s">
        <v>54</v>
      </c>
      <c r="N516" t="s">
        <v>48</v>
      </c>
      <c r="O516" t="s">
        <v>125</v>
      </c>
      <c r="P516">
        <v>27</v>
      </c>
    </row>
    <row r="517" spans="1:16" x14ac:dyDescent="0.3">
      <c r="A517" t="s">
        <v>1545</v>
      </c>
      <c r="B517" t="s">
        <v>1546</v>
      </c>
      <c r="C517" t="str">
        <f t="shared" si="16"/>
        <v>July</v>
      </c>
      <c r="D517">
        <f t="shared" si="17"/>
        <v>2024</v>
      </c>
      <c r="E517" t="s">
        <v>153</v>
      </c>
      <c r="F517" t="s">
        <v>1304</v>
      </c>
      <c r="G517" t="s">
        <v>46</v>
      </c>
      <c r="H517" t="s">
        <v>71</v>
      </c>
      <c r="I517" t="s">
        <v>72</v>
      </c>
      <c r="J517">
        <v>303</v>
      </c>
      <c r="K517">
        <v>5</v>
      </c>
      <c r="L517">
        <v>1515</v>
      </c>
      <c r="M517" t="s">
        <v>54</v>
      </c>
      <c r="N517" t="s">
        <v>40</v>
      </c>
      <c r="O517" t="s">
        <v>62</v>
      </c>
      <c r="P517">
        <v>10</v>
      </c>
    </row>
    <row r="518" spans="1:16" x14ac:dyDescent="0.3">
      <c r="A518" t="s">
        <v>1547</v>
      </c>
      <c r="B518" t="s">
        <v>1548</v>
      </c>
      <c r="C518" t="str">
        <f t="shared" si="16"/>
        <v>May</v>
      </c>
      <c r="D518">
        <f t="shared" si="17"/>
        <v>2024</v>
      </c>
      <c r="E518" t="s">
        <v>1549</v>
      </c>
      <c r="F518" t="s">
        <v>514</v>
      </c>
      <c r="G518" t="s">
        <v>37</v>
      </c>
      <c r="H518" t="s">
        <v>38</v>
      </c>
      <c r="I518" t="s">
        <v>39</v>
      </c>
      <c r="J518">
        <v>776</v>
      </c>
      <c r="K518">
        <v>4</v>
      </c>
      <c r="L518">
        <v>3104</v>
      </c>
      <c r="M518" t="s">
        <v>30</v>
      </c>
      <c r="N518" t="s">
        <v>31</v>
      </c>
      <c r="O518" t="s">
        <v>125</v>
      </c>
      <c r="P518">
        <v>7</v>
      </c>
    </row>
    <row r="519" spans="1:16" x14ac:dyDescent="0.3">
      <c r="A519" t="s">
        <v>1550</v>
      </c>
      <c r="B519" t="s">
        <v>1459</v>
      </c>
      <c r="C519" t="str">
        <f t="shared" si="16"/>
        <v>June</v>
      </c>
      <c r="D519">
        <f t="shared" si="17"/>
        <v>2025</v>
      </c>
      <c r="E519" t="s">
        <v>1551</v>
      </c>
      <c r="F519" t="s">
        <v>290</v>
      </c>
      <c r="G519" t="s">
        <v>37</v>
      </c>
      <c r="H519" t="s">
        <v>71</v>
      </c>
      <c r="I519" t="s">
        <v>119</v>
      </c>
      <c r="J519">
        <v>374</v>
      </c>
      <c r="K519">
        <v>1</v>
      </c>
      <c r="L519">
        <v>374</v>
      </c>
      <c r="M519" t="s">
        <v>54</v>
      </c>
      <c r="N519" t="s">
        <v>40</v>
      </c>
      <c r="O519" t="s">
        <v>78</v>
      </c>
      <c r="P519">
        <v>1</v>
      </c>
    </row>
    <row r="520" spans="1:16" x14ac:dyDescent="0.3">
      <c r="A520" t="s">
        <v>1552</v>
      </c>
      <c r="B520" t="s">
        <v>785</v>
      </c>
      <c r="C520" t="str">
        <f t="shared" si="16"/>
        <v>April</v>
      </c>
      <c r="D520">
        <f t="shared" si="17"/>
        <v>2025</v>
      </c>
      <c r="E520" t="s">
        <v>801</v>
      </c>
      <c r="F520" t="s">
        <v>962</v>
      </c>
      <c r="G520" t="s">
        <v>37</v>
      </c>
      <c r="H520" t="s">
        <v>38</v>
      </c>
      <c r="I520" t="s">
        <v>47</v>
      </c>
      <c r="J520">
        <v>1233</v>
      </c>
      <c r="K520">
        <v>5</v>
      </c>
      <c r="L520">
        <v>6165</v>
      </c>
      <c r="M520" t="s">
        <v>30</v>
      </c>
      <c r="N520" t="s">
        <v>40</v>
      </c>
      <c r="O520" t="s">
        <v>125</v>
      </c>
      <c r="P520">
        <v>22</v>
      </c>
    </row>
    <row r="521" spans="1:16" x14ac:dyDescent="0.3">
      <c r="A521" t="s">
        <v>1553</v>
      </c>
      <c r="B521" t="s">
        <v>1554</v>
      </c>
      <c r="C521" t="str">
        <f t="shared" si="16"/>
        <v>February</v>
      </c>
      <c r="D521">
        <f t="shared" si="17"/>
        <v>2024</v>
      </c>
      <c r="E521" t="s">
        <v>1555</v>
      </c>
      <c r="F521" t="s">
        <v>1139</v>
      </c>
      <c r="G521" t="s">
        <v>20</v>
      </c>
      <c r="H521" t="s">
        <v>71</v>
      </c>
      <c r="I521" t="s">
        <v>119</v>
      </c>
      <c r="J521">
        <v>796</v>
      </c>
      <c r="K521">
        <v>3</v>
      </c>
      <c r="L521">
        <v>2388</v>
      </c>
      <c r="M521" t="s">
        <v>138</v>
      </c>
      <c r="N521" t="s">
        <v>48</v>
      </c>
      <c r="O521" t="s">
        <v>41</v>
      </c>
      <c r="P521">
        <v>18</v>
      </c>
    </row>
    <row r="522" spans="1:16" x14ac:dyDescent="0.3">
      <c r="A522" t="s">
        <v>1556</v>
      </c>
      <c r="B522" t="s">
        <v>529</v>
      </c>
      <c r="C522" t="str">
        <f t="shared" si="16"/>
        <v>May</v>
      </c>
      <c r="D522">
        <f t="shared" si="17"/>
        <v>2025</v>
      </c>
      <c r="E522" t="s">
        <v>1557</v>
      </c>
      <c r="F522" t="s">
        <v>1558</v>
      </c>
      <c r="G522" t="s">
        <v>46</v>
      </c>
      <c r="H522" t="s">
        <v>71</v>
      </c>
      <c r="I522" t="s">
        <v>119</v>
      </c>
      <c r="J522">
        <v>300</v>
      </c>
      <c r="K522">
        <v>4</v>
      </c>
      <c r="L522">
        <v>1200</v>
      </c>
      <c r="M522" t="s">
        <v>54</v>
      </c>
      <c r="N522" t="s">
        <v>31</v>
      </c>
      <c r="O522" t="s">
        <v>55</v>
      </c>
      <c r="P522">
        <v>24</v>
      </c>
    </row>
    <row r="523" spans="1:16" x14ac:dyDescent="0.3">
      <c r="A523" t="s">
        <v>1559</v>
      </c>
      <c r="B523" t="s">
        <v>1560</v>
      </c>
      <c r="C523" t="str">
        <f t="shared" si="16"/>
        <v>August</v>
      </c>
      <c r="D523">
        <f t="shared" si="17"/>
        <v>2024</v>
      </c>
      <c r="E523" t="s">
        <v>1561</v>
      </c>
      <c r="F523" t="s">
        <v>1562</v>
      </c>
      <c r="G523" t="s">
        <v>46</v>
      </c>
      <c r="H523" t="s">
        <v>38</v>
      </c>
      <c r="I523" t="s">
        <v>47</v>
      </c>
      <c r="J523">
        <v>819</v>
      </c>
      <c r="K523">
        <v>5</v>
      </c>
      <c r="L523">
        <v>4095</v>
      </c>
      <c r="M523" t="s">
        <v>138</v>
      </c>
      <c r="N523" t="s">
        <v>48</v>
      </c>
      <c r="O523" t="s">
        <v>62</v>
      </c>
      <c r="P523">
        <v>7</v>
      </c>
    </row>
    <row r="524" spans="1:16" x14ac:dyDescent="0.3">
      <c r="A524" t="s">
        <v>1563</v>
      </c>
      <c r="B524" t="s">
        <v>785</v>
      </c>
      <c r="C524" t="str">
        <f t="shared" si="16"/>
        <v>April</v>
      </c>
      <c r="D524">
        <f t="shared" si="17"/>
        <v>2025</v>
      </c>
      <c r="E524" t="s">
        <v>1269</v>
      </c>
      <c r="F524" t="s">
        <v>1564</v>
      </c>
      <c r="G524" t="s">
        <v>46</v>
      </c>
      <c r="H524" t="s">
        <v>38</v>
      </c>
      <c r="I524" t="s">
        <v>39</v>
      </c>
      <c r="J524">
        <v>656</v>
      </c>
      <c r="K524">
        <v>4</v>
      </c>
      <c r="L524">
        <v>2624</v>
      </c>
      <c r="M524" t="s">
        <v>61</v>
      </c>
      <c r="N524" t="s">
        <v>40</v>
      </c>
      <c r="O524" t="s">
        <v>125</v>
      </c>
      <c r="P524">
        <v>7</v>
      </c>
    </row>
    <row r="525" spans="1:16" x14ac:dyDescent="0.3">
      <c r="A525" t="s">
        <v>1565</v>
      </c>
      <c r="B525" t="s">
        <v>789</v>
      </c>
      <c r="C525" t="str">
        <f t="shared" si="16"/>
        <v>May</v>
      </c>
      <c r="D525">
        <f t="shared" si="17"/>
        <v>2025</v>
      </c>
      <c r="E525" t="s">
        <v>798</v>
      </c>
      <c r="F525" t="s">
        <v>626</v>
      </c>
      <c r="G525" t="s">
        <v>20</v>
      </c>
      <c r="H525" t="s">
        <v>21</v>
      </c>
      <c r="I525" t="s">
        <v>114</v>
      </c>
      <c r="J525">
        <v>223</v>
      </c>
      <c r="K525">
        <v>3</v>
      </c>
      <c r="L525">
        <v>669</v>
      </c>
      <c r="M525" t="s">
        <v>54</v>
      </c>
      <c r="N525" t="s">
        <v>48</v>
      </c>
      <c r="O525" t="s">
        <v>78</v>
      </c>
      <c r="P525">
        <v>30</v>
      </c>
    </row>
    <row r="526" spans="1:16" x14ac:dyDescent="0.3">
      <c r="A526" t="s">
        <v>1566</v>
      </c>
      <c r="B526" t="s">
        <v>1567</v>
      </c>
      <c r="C526" t="str">
        <f t="shared" si="16"/>
        <v>February</v>
      </c>
      <c r="D526">
        <f t="shared" si="17"/>
        <v>2024</v>
      </c>
      <c r="E526" t="s">
        <v>1252</v>
      </c>
      <c r="F526" t="s">
        <v>255</v>
      </c>
      <c r="G526" t="s">
        <v>46</v>
      </c>
      <c r="H526" t="s">
        <v>38</v>
      </c>
      <c r="I526" t="s">
        <v>47</v>
      </c>
      <c r="J526">
        <v>958</v>
      </c>
      <c r="K526">
        <v>2</v>
      </c>
      <c r="L526">
        <v>1916</v>
      </c>
      <c r="M526" t="s">
        <v>54</v>
      </c>
      <c r="N526" t="s">
        <v>40</v>
      </c>
      <c r="O526" t="s">
        <v>55</v>
      </c>
      <c r="P526">
        <v>19</v>
      </c>
    </row>
    <row r="527" spans="1:16" x14ac:dyDescent="0.3">
      <c r="A527" t="s">
        <v>1568</v>
      </c>
      <c r="B527" t="s">
        <v>1294</v>
      </c>
      <c r="C527" t="str">
        <f t="shared" si="16"/>
        <v>July</v>
      </c>
      <c r="D527">
        <f t="shared" si="17"/>
        <v>2024</v>
      </c>
      <c r="E527" t="s">
        <v>1569</v>
      </c>
      <c r="F527" t="s">
        <v>787</v>
      </c>
      <c r="G527" t="s">
        <v>37</v>
      </c>
      <c r="H527" t="s">
        <v>71</v>
      </c>
      <c r="I527" t="s">
        <v>124</v>
      </c>
      <c r="J527">
        <v>564</v>
      </c>
      <c r="K527">
        <v>3</v>
      </c>
      <c r="L527">
        <v>1692</v>
      </c>
      <c r="M527" t="s">
        <v>23</v>
      </c>
      <c r="N527" t="s">
        <v>40</v>
      </c>
      <c r="O527" t="s">
        <v>32</v>
      </c>
      <c r="P527">
        <v>21</v>
      </c>
    </row>
    <row r="528" spans="1:16" x14ac:dyDescent="0.3">
      <c r="A528" t="s">
        <v>1570</v>
      </c>
      <c r="B528" t="s">
        <v>1571</v>
      </c>
      <c r="C528" t="str">
        <f t="shared" si="16"/>
        <v>June</v>
      </c>
      <c r="D528">
        <f t="shared" si="17"/>
        <v>2024</v>
      </c>
      <c r="E528" t="s">
        <v>1131</v>
      </c>
      <c r="F528" t="s">
        <v>1524</v>
      </c>
      <c r="G528" t="s">
        <v>46</v>
      </c>
      <c r="H528" t="s">
        <v>21</v>
      </c>
      <c r="I528" t="s">
        <v>22</v>
      </c>
      <c r="J528">
        <v>416</v>
      </c>
      <c r="K528">
        <v>4</v>
      </c>
      <c r="L528">
        <v>1664</v>
      </c>
      <c r="M528" t="s">
        <v>54</v>
      </c>
      <c r="N528" t="s">
        <v>48</v>
      </c>
      <c r="O528" t="s">
        <v>84</v>
      </c>
      <c r="P528">
        <v>30</v>
      </c>
    </row>
    <row r="529" spans="1:16" x14ac:dyDescent="0.3">
      <c r="A529" t="s">
        <v>1572</v>
      </c>
      <c r="B529" t="s">
        <v>1573</v>
      </c>
      <c r="C529" t="str">
        <f t="shared" si="16"/>
        <v>June</v>
      </c>
      <c r="D529">
        <f t="shared" si="17"/>
        <v>2025</v>
      </c>
      <c r="E529" t="s">
        <v>1574</v>
      </c>
      <c r="F529" t="s">
        <v>575</v>
      </c>
      <c r="G529" t="s">
        <v>46</v>
      </c>
      <c r="H529" t="s">
        <v>38</v>
      </c>
      <c r="I529" t="s">
        <v>39</v>
      </c>
      <c r="J529">
        <v>1090</v>
      </c>
      <c r="K529">
        <v>1</v>
      </c>
      <c r="L529">
        <v>1090</v>
      </c>
      <c r="M529" t="s">
        <v>23</v>
      </c>
      <c r="N529" t="s">
        <v>24</v>
      </c>
      <c r="O529" t="s">
        <v>55</v>
      </c>
      <c r="P529">
        <v>23</v>
      </c>
    </row>
    <row r="530" spans="1:16" x14ac:dyDescent="0.3">
      <c r="A530" t="s">
        <v>1575</v>
      </c>
      <c r="B530" t="s">
        <v>1576</v>
      </c>
      <c r="C530" t="str">
        <f t="shared" si="16"/>
        <v>June</v>
      </c>
      <c r="D530">
        <f t="shared" si="17"/>
        <v>2024</v>
      </c>
      <c r="E530" t="s">
        <v>1577</v>
      </c>
      <c r="F530" t="s">
        <v>582</v>
      </c>
      <c r="G530" t="s">
        <v>37</v>
      </c>
      <c r="H530" t="s">
        <v>21</v>
      </c>
      <c r="I530" t="s">
        <v>53</v>
      </c>
      <c r="J530">
        <v>553</v>
      </c>
      <c r="K530">
        <v>4</v>
      </c>
      <c r="L530">
        <v>2212</v>
      </c>
      <c r="M530" t="s">
        <v>138</v>
      </c>
      <c r="N530" t="s">
        <v>40</v>
      </c>
      <c r="O530" t="s">
        <v>41</v>
      </c>
      <c r="P530">
        <v>17</v>
      </c>
    </row>
    <row r="531" spans="1:16" x14ac:dyDescent="0.3">
      <c r="A531" t="s">
        <v>1578</v>
      </c>
      <c r="B531" t="s">
        <v>584</v>
      </c>
      <c r="C531" t="str">
        <f t="shared" si="16"/>
        <v>September</v>
      </c>
      <c r="D531">
        <f t="shared" si="17"/>
        <v>2024</v>
      </c>
      <c r="E531" t="s">
        <v>1579</v>
      </c>
      <c r="F531" t="s">
        <v>482</v>
      </c>
      <c r="G531" t="s">
        <v>20</v>
      </c>
      <c r="H531" t="s">
        <v>71</v>
      </c>
      <c r="I531" t="s">
        <v>83</v>
      </c>
      <c r="J531">
        <v>996</v>
      </c>
      <c r="K531">
        <v>2</v>
      </c>
      <c r="L531">
        <v>1992</v>
      </c>
      <c r="M531" t="s">
        <v>23</v>
      </c>
      <c r="N531" t="s">
        <v>40</v>
      </c>
      <c r="O531" t="s">
        <v>84</v>
      </c>
      <c r="P531">
        <v>29</v>
      </c>
    </row>
    <row r="532" spans="1:16" x14ac:dyDescent="0.3">
      <c r="A532" t="s">
        <v>1580</v>
      </c>
      <c r="B532" t="s">
        <v>1581</v>
      </c>
      <c r="C532" t="str">
        <f t="shared" si="16"/>
        <v>January</v>
      </c>
      <c r="D532">
        <f t="shared" si="17"/>
        <v>2025</v>
      </c>
      <c r="E532" t="s">
        <v>1582</v>
      </c>
      <c r="F532" t="s">
        <v>1583</v>
      </c>
      <c r="G532" t="s">
        <v>46</v>
      </c>
      <c r="H532" t="s">
        <v>21</v>
      </c>
      <c r="I532" t="s">
        <v>77</v>
      </c>
      <c r="J532">
        <v>1248</v>
      </c>
      <c r="K532">
        <v>5</v>
      </c>
      <c r="L532">
        <v>6240</v>
      </c>
      <c r="M532" t="s">
        <v>23</v>
      </c>
      <c r="N532" t="s">
        <v>24</v>
      </c>
      <c r="O532" t="s">
        <v>32</v>
      </c>
      <c r="P532">
        <v>27</v>
      </c>
    </row>
    <row r="533" spans="1:16" x14ac:dyDescent="0.3">
      <c r="A533" t="s">
        <v>1584</v>
      </c>
      <c r="B533" t="s">
        <v>1585</v>
      </c>
      <c r="C533" t="str">
        <f t="shared" si="16"/>
        <v>January</v>
      </c>
      <c r="D533">
        <f t="shared" si="17"/>
        <v>2024</v>
      </c>
      <c r="E533" t="s">
        <v>1586</v>
      </c>
      <c r="F533" t="s">
        <v>369</v>
      </c>
      <c r="G533" t="s">
        <v>20</v>
      </c>
      <c r="H533" t="s">
        <v>71</v>
      </c>
      <c r="I533" t="s">
        <v>72</v>
      </c>
      <c r="J533">
        <v>800</v>
      </c>
      <c r="K533">
        <v>1</v>
      </c>
      <c r="L533">
        <v>800</v>
      </c>
      <c r="M533" t="s">
        <v>54</v>
      </c>
      <c r="N533" t="s">
        <v>24</v>
      </c>
      <c r="O533" t="s">
        <v>55</v>
      </c>
      <c r="P533">
        <v>24</v>
      </c>
    </row>
    <row r="534" spans="1:16" x14ac:dyDescent="0.3">
      <c r="A534" t="s">
        <v>1587</v>
      </c>
      <c r="B534" t="s">
        <v>512</v>
      </c>
      <c r="C534" t="str">
        <f t="shared" si="16"/>
        <v>October</v>
      </c>
      <c r="D534">
        <f t="shared" si="17"/>
        <v>2024</v>
      </c>
      <c r="E534" t="s">
        <v>1230</v>
      </c>
      <c r="F534" t="s">
        <v>343</v>
      </c>
      <c r="G534" t="s">
        <v>46</v>
      </c>
      <c r="H534" t="s">
        <v>21</v>
      </c>
      <c r="I534" t="s">
        <v>22</v>
      </c>
      <c r="J534">
        <v>658</v>
      </c>
      <c r="K534">
        <v>3</v>
      </c>
      <c r="L534">
        <v>1974</v>
      </c>
      <c r="M534" t="s">
        <v>138</v>
      </c>
      <c r="N534" t="s">
        <v>24</v>
      </c>
      <c r="O534" t="s">
        <v>78</v>
      </c>
      <c r="P534">
        <v>17</v>
      </c>
    </row>
    <row r="535" spans="1:16" x14ac:dyDescent="0.3">
      <c r="A535" t="s">
        <v>1588</v>
      </c>
      <c r="B535" t="s">
        <v>1589</v>
      </c>
      <c r="C535" t="str">
        <f t="shared" si="16"/>
        <v>February</v>
      </c>
      <c r="D535">
        <f t="shared" si="17"/>
        <v>2025</v>
      </c>
      <c r="E535" t="s">
        <v>662</v>
      </c>
      <c r="F535" t="s">
        <v>1590</v>
      </c>
      <c r="G535" t="s">
        <v>46</v>
      </c>
      <c r="H535" t="s">
        <v>38</v>
      </c>
      <c r="I535" t="s">
        <v>39</v>
      </c>
      <c r="J535">
        <v>681</v>
      </c>
      <c r="K535">
        <v>3</v>
      </c>
      <c r="L535">
        <v>2043</v>
      </c>
      <c r="M535" t="s">
        <v>30</v>
      </c>
      <c r="N535" t="s">
        <v>48</v>
      </c>
      <c r="O535" t="s">
        <v>55</v>
      </c>
      <c r="P535">
        <v>22</v>
      </c>
    </row>
    <row r="536" spans="1:16" x14ac:dyDescent="0.3">
      <c r="A536" t="s">
        <v>1591</v>
      </c>
      <c r="B536" t="s">
        <v>327</v>
      </c>
      <c r="C536" t="str">
        <f t="shared" si="16"/>
        <v>January</v>
      </c>
      <c r="D536">
        <f t="shared" si="17"/>
        <v>2025</v>
      </c>
      <c r="E536" t="s">
        <v>1592</v>
      </c>
      <c r="F536" t="s">
        <v>1593</v>
      </c>
      <c r="G536" t="s">
        <v>37</v>
      </c>
      <c r="H536" t="s">
        <v>21</v>
      </c>
      <c r="I536" t="s">
        <v>109</v>
      </c>
      <c r="J536">
        <v>341</v>
      </c>
      <c r="K536">
        <v>3</v>
      </c>
      <c r="L536">
        <v>1023</v>
      </c>
      <c r="M536" t="s">
        <v>61</v>
      </c>
      <c r="N536" t="s">
        <v>48</v>
      </c>
      <c r="O536" t="s">
        <v>41</v>
      </c>
      <c r="P536">
        <v>11</v>
      </c>
    </row>
    <row r="537" spans="1:16" x14ac:dyDescent="0.3">
      <c r="A537" t="s">
        <v>1594</v>
      </c>
      <c r="B537" t="s">
        <v>1585</v>
      </c>
      <c r="C537" t="str">
        <f t="shared" si="16"/>
        <v>January</v>
      </c>
      <c r="D537">
        <f t="shared" si="17"/>
        <v>2024</v>
      </c>
      <c r="E537" t="s">
        <v>1595</v>
      </c>
      <c r="F537" t="s">
        <v>808</v>
      </c>
      <c r="G537" t="s">
        <v>46</v>
      </c>
      <c r="H537" t="s">
        <v>71</v>
      </c>
      <c r="I537" t="s">
        <v>96</v>
      </c>
      <c r="J537">
        <v>856</v>
      </c>
      <c r="K537">
        <v>4</v>
      </c>
      <c r="L537">
        <v>3424</v>
      </c>
      <c r="M537" t="s">
        <v>54</v>
      </c>
      <c r="N537" t="s">
        <v>31</v>
      </c>
      <c r="O537" t="s">
        <v>84</v>
      </c>
      <c r="P537">
        <v>21</v>
      </c>
    </row>
    <row r="538" spans="1:16" x14ac:dyDescent="0.3">
      <c r="A538" t="s">
        <v>1596</v>
      </c>
      <c r="B538" t="s">
        <v>1597</v>
      </c>
      <c r="C538" t="str">
        <f t="shared" si="16"/>
        <v>March</v>
      </c>
      <c r="D538">
        <f t="shared" si="17"/>
        <v>2025</v>
      </c>
      <c r="E538" t="s">
        <v>1598</v>
      </c>
      <c r="F538" t="s">
        <v>286</v>
      </c>
      <c r="G538" t="s">
        <v>37</v>
      </c>
      <c r="H538" t="s">
        <v>38</v>
      </c>
      <c r="I538" t="s">
        <v>60</v>
      </c>
      <c r="J538">
        <v>1053</v>
      </c>
      <c r="K538">
        <v>2</v>
      </c>
      <c r="L538">
        <v>2106</v>
      </c>
      <c r="M538" t="s">
        <v>138</v>
      </c>
      <c r="N538" t="s">
        <v>48</v>
      </c>
      <c r="O538" t="s">
        <v>78</v>
      </c>
      <c r="P538">
        <v>13</v>
      </c>
    </row>
    <row r="539" spans="1:16" x14ac:dyDescent="0.3">
      <c r="A539" t="s">
        <v>1599</v>
      </c>
      <c r="B539" t="s">
        <v>1169</v>
      </c>
      <c r="C539" t="str">
        <f t="shared" si="16"/>
        <v>March</v>
      </c>
      <c r="D539">
        <f t="shared" si="17"/>
        <v>2025</v>
      </c>
      <c r="E539" t="s">
        <v>99</v>
      </c>
      <c r="F539" t="s">
        <v>238</v>
      </c>
      <c r="G539" t="s">
        <v>37</v>
      </c>
      <c r="H539" t="s">
        <v>71</v>
      </c>
      <c r="I539" t="s">
        <v>119</v>
      </c>
      <c r="J539">
        <v>659</v>
      </c>
      <c r="K539">
        <v>5</v>
      </c>
      <c r="L539">
        <v>3295</v>
      </c>
      <c r="M539" t="s">
        <v>23</v>
      </c>
      <c r="N539" t="s">
        <v>48</v>
      </c>
      <c r="O539" t="s">
        <v>84</v>
      </c>
      <c r="P539">
        <v>19</v>
      </c>
    </row>
    <row r="540" spans="1:16" x14ac:dyDescent="0.3">
      <c r="A540" t="s">
        <v>1600</v>
      </c>
      <c r="B540" t="s">
        <v>1319</v>
      </c>
      <c r="C540" t="str">
        <f t="shared" si="16"/>
        <v>November</v>
      </c>
      <c r="D540">
        <f t="shared" si="17"/>
        <v>2024</v>
      </c>
      <c r="E540" t="s">
        <v>1601</v>
      </c>
      <c r="F540" t="s">
        <v>825</v>
      </c>
      <c r="G540" t="s">
        <v>37</v>
      </c>
      <c r="H540" t="s">
        <v>21</v>
      </c>
      <c r="I540" t="s">
        <v>22</v>
      </c>
      <c r="J540">
        <v>337</v>
      </c>
      <c r="K540">
        <v>2</v>
      </c>
      <c r="L540">
        <v>674</v>
      </c>
      <c r="M540" t="s">
        <v>54</v>
      </c>
      <c r="N540" t="s">
        <v>31</v>
      </c>
      <c r="O540" t="s">
        <v>25</v>
      </c>
      <c r="P540">
        <v>24</v>
      </c>
    </row>
    <row r="541" spans="1:16" x14ac:dyDescent="0.3">
      <c r="A541" t="s">
        <v>1602</v>
      </c>
      <c r="B541" t="s">
        <v>1603</v>
      </c>
      <c r="C541" t="str">
        <f t="shared" si="16"/>
        <v>February</v>
      </c>
      <c r="D541">
        <f t="shared" si="17"/>
        <v>2024</v>
      </c>
      <c r="E541" t="s">
        <v>1320</v>
      </c>
      <c r="F541" t="s">
        <v>767</v>
      </c>
      <c r="G541" t="s">
        <v>20</v>
      </c>
      <c r="H541" t="s">
        <v>38</v>
      </c>
      <c r="I541" t="s">
        <v>39</v>
      </c>
      <c r="J541">
        <v>699</v>
      </c>
      <c r="K541">
        <v>5</v>
      </c>
      <c r="L541">
        <v>3495</v>
      </c>
      <c r="M541" t="s">
        <v>61</v>
      </c>
      <c r="N541" t="s">
        <v>48</v>
      </c>
      <c r="O541" t="s">
        <v>55</v>
      </c>
      <c r="P541">
        <v>14</v>
      </c>
    </row>
    <row r="542" spans="1:16" x14ac:dyDescent="0.3">
      <c r="A542" t="s">
        <v>1604</v>
      </c>
      <c r="B542" t="s">
        <v>94</v>
      </c>
      <c r="C542" t="str">
        <f t="shared" si="16"/>
        <v>May</v>
      </c>
      <c r="D542">
        <f t="shared" si="17"/>
        <v>2024</v>
      </c>
      <c r="E542" t="s">
        <v>1605</v>
      </c>
      <c r="F542" t="s">
        <v>244</v>
      </c>
      <c r="G542" t="s">
        <v>46</v>
      </c>
      <c r="H542" t="s">
        <v>38</v>
      </c>
      <c r="I542" t="s">
        <v>47</v>
      </c>
      <c r="J542">
        <v>1356</v>
      </c>
      <c r="K542">
        <v>5</v>
      </c>
      <c r="L542">
        <v>6780</v>
      </c>
      <c r="M542" t="s">
        <v>23</v>
      </c>
      <c r="N542" t="s">
        <v>24</v>
      </c>
      <c r="O542" t="s">
        <v>32</v>
      </c>
      <c r="P542">
        <v>21</v>
      </c>
    </row>
    <row r="543" spans="1:16" x14ac:dyDescent="0.3">
      <c r="A543" t="s">
        <v>1606</v>
      </c>
      <c r="B543" t="s">
        <v>1607</v>
      </c>
      <c r="C543" t="str">
        <f t="shared" si="16"/>
        <v>July</v>
      </c>
      <c r="D543">
        <f t="shared" si="17"/>
        <v>2024</v>
      </c>
      <c r="E543" t="s">
        <v>1201</v>
      </c>
      <c r="F543" t="s">
        <v>1590</v>
      </c>
      <c r="G543" t="s">
        <v>37</v>
      </c>
      <c r="H543" t="s">
        <v>71</v>
      </c>
      <c r="I543" t="s">
        <v>72</v>
      </c>
      <c r="J543">
        <v>761</v>
      </c>
      <c r="K543">
        <v>3</v>
      </c>
      <c r="L543">
        <v>2283</v>
      </c>
      <c r="M543" t="s">
        <v>61</v>
      </c>
      <c r="N543" t="s">
        <v>40</v>
      </c>
      <c r="O543" t="s">
        <v>84</v>
      </c>
      <c r="P543">
        <v>6</v>
      </c>
    </row>
    <row r="544" spans="1:16" x14ac:dyDescent="0.3">
      <c r="A544" t="s">
        <v>1608</v>
      </c>
      <c r="B544" t="s">
        <v>525</v>
      </c>
      <c r="C544" t="str">
        <f t="shared" si="16"/>
        <v>July</v>
      </c>
      <c r="D544">
        <f t="shared" si="17"/>
        <v>2024</v>
      </c>
      <c r="E544" t="s">
        <v>1561</v>
      </c>
      <c r="F544" t="s">
        <v>150</v>
      </c>
      <c r="G544" t="s">
        <v>37</v>
      </c>
      <c r="H544" t="s">
        <v>71</v>
      </c>
      <c r="I544" t="s">
        <v>72</v>
      </c>
      <c r="J544">
        <v>1329</v>
      </c>
      <c r="K544">
        <v>1</v>
      </c>
      <c r="L544">
        <v>1329</v>
      </c>
      <c r="M544" t="s">
        <v>30</v>
      </c>
      <c r="N544" t="s">
        <v>31</v>
      </c>
      <c r="O544" t="s">
        <v>84</v>
      </c>
      <c r="P544">
        <v>25</v>
      </c>
    </row>
    <row r="545" spans="1:16" x14ac:dyDescent="0.3">
      <c r="A545" t="s">
        <v>1609</v>
      </c>
      <c r="B545" t="s">
        <v>1610</v>
      </c>
      <c r="C545" t="str">
        <f t="shared" si="16"/>
        <v>July</v>
      </c>
      <c r="D545">
        <f t="shared" si="17"/>
        <v>2024</v>
      </c>
      <c r="E545" t="s">
        <v>1162</v>
      </c>
      <c r="F545" t="s">
        <v>1611</v>
      </c>
      <c r="G545" t="s">
        <v>20</v>
      </c>
      <c r="H545" t="s">
        <v>38</v>
      </c>
      <c r="I545" t="s">
        <v>47</v>
      </c>
      <c r="J545">
        <v>1235</v>
      </c>
      <c r="K545">
        <v>2</v>
      </c>
      <c r="L545">
        <v>2470</v>
      </c>
      <c r="M545" t="s">
        <v>54</v>
      </c>
      <c r="N545" t="s">
        <v>40</v>
      </c>
      <c r="O545" t="s">
        <v>62</v>
      </c>
      <c r="P545">
        <v>5</v>
      </c>
    </row>
    <row r="546" spans="1:16" x14ac:dyDescent="0.3">
      <c r="A546" t="s">
        <v>1612</v>
      </c>
      <c r="B546" t="s">
        <v>749</v>
      </c>
      <c r="C546" t="str">
        <f t="shared" si="16"/>
        <v>September</v>
      </c>
      <c r="D546">
        <f t="shared" si="17"/>
        <v>2024</v>
      </c>
      <c r="E546" t="s">
        <v>1613</v>
      </c>
      <c r="F546" t="s">
        <v>1614</v>
      </c>
      <c r="G546" t="s">
        <v>37</v>
      </c>
      <c r="H546" t="s">
        <v>21</v>
      </c>
      <c r="I546" t="s">
        <v>53</v>
      </c>
      <c r="J546">
        <v>1274</v>
      </c>
      <c r="K546">
        <v>5</v>
      </c>
      <c r="L546">
        <v>6370</v>
      </c>
      <c r="M546" t="s">
        <v>54</v>
      </c>
      <c r="N546" t="s">
        <v>40</v>
      </c>
      <c r="O546" t="s">
        <v>84</v>
      </c>
      <c r="P546">
        <v>27</v>
      </c>
    </row>
    <row r="547" spans="1:16" x14ac:dyDescent="0.3">
      <c r="A547" t="s">
        <v>1615</v>
      </c>
      <c r="B547" t="s">
        <v>1616</v>
      </c>
      <c r="C547" t="str">
        <f t="shared" si="16"/>
        <v>September</v>
      </c>
      <c r="D547">
        <f t="shared" si="17"/>
        <v>2024</v>
      </c>
      <c r="E547" t="s">
        <v>1617</v>
      </c>
      <c r="F547" t="s">
        <v>1019</v>
      </c>
      <c r="G547" t="s">
        <v>37</v>
      </c>
      <c r="H547" t="s">
        <v>71</v>
      </c>
      <c r="I547" t="s">
        <v>119</v>
      </c>
      <c r="J547">
        <v>315</v>
      </c>
      <c r="K547">
        <v>4</v>
      </c>
      <c r="L547">
        <v>1260</v>
      </c>
      <c r="M547" t="s">
        <v>61</v>
      </c>
      <c r="N547" t="s">
        <v>24</v>
      </c>
      <c r="O547" t="s">
        <v>25</v>
      </c>
      <c r="P547">
        <v>10</v>
      </c>
    </row>
    <row r="548" spans="1:16" x14ac:dyDescent="0.3">
      <c r="A548" t="s">
        <v>1618</v>
      </c>
      <c r="B548" t="s">
        <v>341</v>
      </c>
      <c r="C548" t="str">
        <f t="shared" si="16"/>
        <v>August</v>
      </c>
      <c r="D548">
        <f t="shared" si="17"/>
        <v>2024</v>
      </c>
      <c r="E548" t="s">
        <v>536</v>
      </c>
      <c r="F548" t="s">
        <v>562</v>
      </c>
      <c r="G548" t="s">
        <v>46</v>
      </c>
      <c r="H548" t="s">
        <v>38</v>
      </c>
      <c r="I548" t="s">
        <v>47</v>
      </c>
      <c r="J548">
        <v>993</v>
      </c>
      <c r="K548">
        <v>4</v>
      </c>
      <c r="L548">
        <v>3972</v>
      </c>
      <c r="M548" t="s">
        <v>54</v>
      </c>
      <c r="N548" t="s">
        <v>24</v>
      </c>
      <c r="O548" t="s">
        <v>25</v>
      </c>
      <c r="P548">
        <v>20</v>
      </c>
    </row>
    <row r="549" spans="1:16" x14ac:dyDescent="0.3">
      <c r="A549" t="s">
        <v>1619</v>
      </c>
      <c r="B549" t="s">
        <v>189</v>
      </c>
      <c r="C549" t="str">
        <f t="shared" si="16"/>
        <v>August</v>
      </c>
      <c r="D549">
        <f t="shared" si="17"/>
        <v>2024</v>
      </c>
      <c r="E549" t="s">
        <v>1080</v>
      </c>
      <c r="F549" t="s">
        <v>1019</v>
      </c>
      <c r="G549" t="s">
        <v>37</v>
      </c>
      <c r="H549" t="s">
        <v>71</v>
      </c>
      <c r="I549" t="s">
        <v>83</v>
      </c>
      <c r="J549">
        <v>669</v>
      </c>
      <c r="K549">
        <v>5</v>
      </c>
      <c r="L549">
        <v>3345</v>
      </c>
      <c r="M549" t="s">
        <v>138</v>
      </c>
      <c r="N549" t="s">
        <v>31</v>
      </c>
      <c r="O549" t="s">
        <v>55</v>
      </c>
      <c r="P549">
        <v>18</v>
      </c>
    </row>
    <row r="550" spans="1:16" x14ac:dyDescent="0.3">
      <c r="A550" t="s">
        <v>1620</v>
      </c>
      <c r="B550" t="s">
        <v>1621</v>
      </c>
      <c r="C550" t="str">
        <f t="shared" si="16"/>
        <v>July</v>
      </c>
      <c r="D550">
        <f t="shared" si="17"/>
        <v>2025</v>
      </c>
      <c r="E550" t="s">
        <v>1622</v>
      </c>
      <c r="F550" t="s">
        <v>1454</v>
      </c>
      <c r="G550" t="s">
        <v>37</v>
      </c>
      <c r="H550" t="s">
        <v>71</v>
      </c>
      <c r="I550" t="s">
        <v>96</v>
      </c>
      <c r="J550">
        <v>648</v>
      </c>
      <c r="K550">
        <v>3</v>
      </c>
      <c r="L550">
        <v>1944</v>
      </c>
      <c r="M550" t="s">
        <v>138</v>
      </c>
      <c r="N550" t="s">
        <v>24</v>
      </c>
      <c r="O550" t="s">
        <v>41</v>
      </c>
      <c r="P550">
        <v>25</v>
      </c>
    </row>
    <row r="551" spans="1:16" x14ac:dyDescent="0.3">
      <c r="A551" t="s">
        <v>1623</v>
      </c>
      <c r="B551" t="s">
        <v>1339</v>
      </c>
      <c r="C551" t="str">
        <f t="shared" si="16"/>
        <v>January</v>
      </c>
      <c r="D551">
        <f t="shared" si="17"/>
        <v>2025</v>
      </c>
      <c r="E551" t="s">
        <v>587</v>
      </c>
      <c r="F551" t="s">
        <v>1624</v>
      </c>
      <c r="G551" t="s">
        <v>46</v>
      </c>
      <c r="H551" t="s">
        <v>38</v>
      </c>
      <c r="I551" t="s">
        <v>47</v>
      </c>
      <c r="J551">
        <v>1310</v>
      </c>
      <c r="K551">
        <v>2</v>
      </c>
      <c r="L551">
        <v>2620</v>
      </c>
      <c r="M551" t="s">
        <v>138</v>
      </c>
      <c r="N551" t="s">
        <v>40</v>
      </c>
      <c r="O551" t="s">
        <v>41</v>
      </c>
      <c r="P551">
        <v>3</v>
      </c>
    </row>
    <row r="552" spans="1:16" x14ac:dyDescent="0.3">
      <c r="A552" t="s">
        <v>1625</v>
      </c>
      <c r="B552" t="s">
        <v>574</v>
      </c>
      <c r="C552" t="str">
        <f t="shared" si="16"/>
        <v>July</v>
      </c>
      <c r="D552">
        <f t="shared" si="17"/>
        <v>2024</v>
      </c>
      <c r="E552" t="s">
        <v>1144</v>
      </c>
      <c r="F552" t="s">
        <v>709</v>
      </c>
      <c r="G552" t="s">
        <v>37</v>
      </c>
      <c r="H552" t="s">
        <v>71</v>
      </c>
      <c r="I552" t="s">
        <v>72</v>
      </c>
      <c r="J552">
        <v>840</v>
      </c>
      <c r="K552">
        <v>4</v>
      </c>
      <c r="L552">
        <v>3360</v>
      </c>
      <c r="M552" t="s">
        <v>30</v>
      </c>
      <c r="N552" t="s">
        <v>40</v>
      </c>
      <c r="O552" t="s">
        <v>78</v>
      </c>
      <c r="P552">
        <v>23</v>
      </c>
    </row>
    <row r="553" spans="1:16" x14ac:dyDescent="0.3">
      <c r="A553" t="s">
        <v>1626</v>
      </c>
      <c r="B553" t="s">
        <v>1377</v>
      </c>
      <c r="C553" t="str">
        <f t="shared" si="16"/>
        <v>April</v>
      </c>
      <c r="D553">
        <f t="shared" si="17"/>
        <v>2024</v>
      </c>
      <c r="E553" t="s">
        <v>445</v>
      </c>
      <c r="F553" t="s">
        <v>1261</v>
      </c>
      <c r="G553" t="s">
        <v>37</v>
      </c>
      <c r="H553" t="s">
        <v>38</v>
      </c>
      <c r="I553" t="s">
        <v>60</v>
      </c>
      <c r="J553">
        <v>900</v>
      </c>
      <c r="K553">
        <v>2</v>
      </c>
      <c r="L553">
        <v>1800</v>
      </c>
      <c r="M553" t="s">
        <v>61</v>
      </c>
      <c r="N553" t="s">
        <v>24</v>
      </c>
      <c r="O553" t="s">
        <v>25</v>
      </c>
      <c r="P553">
        <v>23</v>
      </c>
    </row>
    <row r="554" spans="1:16" x14ac:dyDescent="0.3">
      <c r="A554" t="s">
        <v>1627</v>
      </c>
      <c r="B554" t="s">
        <v>34</v>
      </c>
      <c r="C554" t="str">
        <f t="shared" si="16"/>
        <v>November</v>
      </c>
      <c r="D554">
        <f t="shared" si="17"/>
        <v>2024</v>
      </c>
      <c r="E554" t="s">
        <v>639</v>
      </c>
      <c r="F554" t="s">
        <v>1051</v>
      </c>
      <c r="G554" t="s">
        <v>37</v>
      </c>
      <c r="H554" t="s">
        <v>38</v>
      </c>
      <c r="I554" t="s">
        <v>60</v>
      </c>
      <c r="J554">
        <v>883</v>
      </c>
      <c r="K554">
        <v>2</v>
      </c>
      <c r="L554">
        <v>1766</v>
      </c>
      <c r="M554" t="s">
        <v>30</v>
      </c>
      <c r="N554" t="s">
        <v>40</v>
      </c>
      <c r="O554" t="s">
        <v>78</v>
      </c>
      <c r="P554">
        <v>10</v>
      </c>
    </row>
    <row r="555" spans="1:16" x14ac:dyDescent="0.3">
      <c r="A555" t="s">
        <v>1628</v>
      </c>
      <c r="B555" t="s">
        <v>1306</v>
      </c>
      <c r="C555" t="str">
        <f t="shared" si="16"/>
        <v>February</v>
      </c>
      <c r="D555">
        <f t="shared" si="17"/>
        <v>2025</v>
      </c>
      <c r="E555" t="s">
        <v>1551</v>
      </c>
      <c r="F555" t="s">
        <v>190</v>
      </c>
      <c r="G555" t="s">
        <v>37</v>
      </c>
      <c r="H555" t="s">
        <v>21</v>
      </c>
      <c r="I555" t="s">
        <v>77</v>
      </c>
      <c r="J555">
        <v>1237</v>
      </c>
      <c r="K555">
        <v>5</v>
      </c>
      <c r="L555">
        <v>6185</v>
      </c>
      <c r="M555" t="s">
        <v>23</v>
      </c>
      <c r="N555" t="s">
        <v>31</v>
      </c>
      <c r="O555" t="s">
        <v>78</v>
      </c>
      <c r="P555">
        <v>19</v>
      </c>
    </row>
    <row r="556" spans="1:16" x14ac:dyDescent="0.3">
      <c r="A556" t="s">
        <v>1629</v>
      </c>
      <c r="B556" t="s">
        <v>1630</v>
      </c>
      <c r="C556" t="str">
        <f t="shared" si="16"/>
        <v>November</v>
      </c>
      <c r="D556">
        <f t="shared" si="17"/>
        <v>2024</v>
      </c>
      <c r="E556" t="s">
        <v>1631</v>
      </c>
      <c r="F556" t="s">
        <v>482</v>
      </c>
      <c r="G556" t="s">
        <v>46</v>
      </c>
      <c r="H556" t="s">
        <v>21</v>
      </c>
      <c r="I556" t="s">
        <v>53</v>
      </c>
      <c r="J556">
        <v>1273</v>
      </c>
      <c r="K556">
        <v>4</v>
      </c>
      <c r="L556">
        <v>5092</v>
      </c>
      <c r="M556" t="s">
        <v>138</v>
      </c>
      <c r="N556" t="s">
        <v>24</v>
      </c>
      <c r="O556" t="s">
        <v>78</v>
      </c>
      <c r="P556">
        <v>12</v>
      </c>
    </row>
    <row r="557" spans="1:16" x14ac:dyDescent="0.3">
      <c r="A557" t="s">
        <v>1632</v>
      </c>
      <c r="B557" t="s">
        <v>220</v>
      </c>
      <c r="C557" t="str">
        <f t="shared" si="16"/>
        <v>June</v>
      </c>
      <c r="D557">
        <f t="shared" si="17"/>
        <v>2025</v>
      </c>
      <c r="E557" t="s">
        <v>1633</v>
      </c>
      <c r="F557" t="s">
        <v>392</v>
      </c>
      <c r="G557" t="s">
        <v>46</v>
      </c>
      <c r="H557" t="s">
        <v>21</v>
      </c>
      <c r="I557" t="s">
        <v>114</v>
      </c>
      <c r="J557">
        <v>947</v>
      </c>
      <c r="K557">
        <v>2</v>
      </c>
      <c r="L557">
        <v>1894</v>
      </c>
      <c r="M557" t="s">
        <v>30</v>
      </c>
      <c r="N557" t="s">
        <v>31</v>
      </c>
      <c r="O557" t="s">
        <v>55</v>
      </c>
      <c r="P557">
        <v>12</v>
      </c>
    </row>
    <row r="558" spans="1:16" x14ac:dyDescent="0.3">
      <c r="A558" t="s">
        <v>1634</v>
      </c>
      <c r="B558" t="s">
        <v>867</v>
      </c>
      <c r="C558" t="str">
        <f t="shared" si="16"/>
        <v>October</v>
      </c>
      <c r="D558">
        <f t="shared" si="17"/>
        <v>2024</v>
      </c>
      <c r="E558" t="s">
        <v>1635</v>
      </c>
      <c r="F558" t="s">
        <v>1636</v>
      </c>
      <c r="G558" t="s">
        <v>46</v>
      </c>
      <c r="H558" t="s">
        <v>21</v>
      </c>
      <c r="I558" t="s">
        <v>77</v>
      </c>
      <c r="J558">
        <v>565</v>
      </c>
      <c r="K558">
        <v>3</v>
      </c>
      <c r="L558">
        <v>1695</v>
      </c>
      <c r="M558" t="s">
        <v>54</v>
      </c>
      <c r="N558" t="s">
        <v>48</v>
      </c>
      <c r="O558" t="s">
        <v>84</v>
      </c>
      <c r="P558">
        <v>16</v>
      </c>
    </row>
    <row r="559" spans="1:16" x14ac:dyDescent="0.3">
      <c r="A559" t="s">
        <v>1637</v>
      </c>
      <c r="B559" t="s">
        <v>1638</v>
      </c>
      <c r="C559" t="str">
        <f t="shared" si="16"/>
        <v>August</v>
      </c>
      <c r="D559">
        <f t="shared" si="17"/>
        <v>2025</v>
      </c>
      <c r="E559" t="s">
        <v>1639</v>
      </c>
      <c r="F559" t="s">
        <v>1640</v>
      </c>
      <c r="G559" t="s">
        <v>37</v>
      </c>
      <c r="H559" t="s">
        <v>38</v>
      </c>
      <c r="I559" t="s">
        <v>325</v>
      </c>
      <c r="J559">
        <v>231</v>
      </c>
      <c r="K559">
        <v>1</v>
      </c>
      <c r="L559">
        <v>231</v>
      </c>
      <c r="M559" t="s">
        <v>54</v>
      </c>
      <c r="N559" t="s">
        <v>24</v>
      </c>
      <c r="O559" t="s">
        <v>125</v>
      </c>
      <c r="P559">
        <v>4</v>
      </c>
    </row>
    <row r="560" spans="1:16" x14ac:dyDescent="0.3">
      <c r="A560" t="s">
        <v>1641</v>
      </c>
      <c r="B560" t="s">
        <v>181</v>
      </c>
      <c r="C560" t="str">
        <f t="shared" si="16"/>
        <v>March</v>
      </c>
      <c r="D560">
        <f t="shared" si="17"/>
        <v>2024</v>
      </c>
      <c r="E560" t="s">
        <v>1642</v>
      </c>
      <c r="F560" t="s">
        <v>36</v>
      </c>
      <c r="G560" t="s">
        <v>46</v>
      </c>
      <c r="H560" t="s">
        <v>71</v>
      </c>
      <c r="I560" t="s">
        <v>119</v>
      </c>
      <c r="J560">
        <v>597</v>
      </c>
      <c r="K560">
        <v>3</v>
      </c>
      <c r="L560">
        <v>1791</v>
      </c>
      <c r="M560" t="s">
        <v>30</v>
      </c>
      <c r="N560" t="s">
        <v>40</v>
      </c>
      <c r="O560" t="s">
        <v>25</v>
      </c>
      <c r="P560">
        <v>26</v>
      </c>
    </row>
    <row r="561" spans="1:16" x14ac:dyDescent="0.3">
      <c r="A561" t="s">
        <v>1643</v>
      </c>
      <c r="B561" t="s">
        <v>1644</v>
      </c>
      <c r="C561" t="str">
        <f t="shared" si="16"/>
        <v>March</v>
      </c>
      <c r="D561">
        <f t="shared" si="17"/>
        <v>2025</v>
      </c>
      <c r="E561" t="s">
        <v>1645</v>
      </c>
      <c r="F561" t="s">
        <v>977</v>
      </c>
      <c r="G561" t="s">
        <v>20</v>
      </c>
      <c r="H561" t="s">
        <v>71</v>
      </c>
      <c r="I561" t="s">
        <v>119</v>
      </c>
      <c r="J561">
        <v>246</v>
      </c>
      <c r="K561">
        <v>1</v>
      </c>
      <c r="L561">
        <v>246</v>
      </c>
      <c r="M561" t="s">
        <v>138</v>
      </c>
      <c r="N561" t="s">
        <v>48</v>
      </c>
      <c r="O561" t="s">
        <v>41</v>
      </c>
      <c r="P561">
        <v>5</v>
      </c>
    </row>
    <row r="562" spans="1:16" x14ac:dyDescent="0.3">
      <c r="A562" t="s">
        <v>1646</v>
      </c>
      <c r="B562" t="s">
        <v>1420</v>
      </c>
      <c r="C562" t="str">
        <f t="shared" si="16"/>
        <v>June</v>
      </c>
      <c r="D562">
        <f t="shared" si="17"/>
        <v>2025</v>
      </c>
      <c r="E562" t="s">
        <v>1647</v>
      </c>
      <c r="F562" t="s">
        <v>486</v>
      </c>
      <c r="G562" t="s">
        <v>46</v>
      </c>
      <c r="H562" t="s">
        <v>71</v>
      </c>
      <c r="I562" t="s">
        <v>119</v>
      </c>
      <c r="J562">
        <v>769</v>
      </c>
      <c r="K562">
        <v>4</v>
      </c>
      <c r="L562">
        <v>3076</v>
      </c>
      <c r="M562" t="s">
        <v>30</v>
      </c>
      <c r="N562" t="s">
        <v>48</v>
      </c>
      <c r="O562" t="s">
        <v>78</v>
      </c>
      <c r="P562">
        <v>6</v>
      </c>
    </row>
    <row r="563" spans="1:16" x14ac:dyDescent="0.3">
      <c r="A563" t="s">
        <v>1648</v>
      </c>
      <c r="B563" t="s">
        <v>378</v>
      </c>
      <c r="C563" t="str">
        <f t="shared" si="16"/>
        <v>March</v>
      </c>
      <c r="D563">
        <f t="shared" si="17"/>
        <v>2024</v>
      </c>
      <c r="E563" t="s">
        <v>1649</v>
      </c>
      <c r="F563" t="s">
        <v>682</v>
      </c>
      <c r="G563" t="s">
        <v>37</v>
      </c>
      <c r="H563" t="s">
        <v>71</v>
      </c>
      <c r="I563" t="s">
        <v>96</v>
      </c>
      <c r="J563">
        <v>363</v>
      </c>
      <c r="K563">
        <v>1</v>
      </c>
      <c r="L563">
        <v>363</v>
      </c>
      <c r="M563" t="s">
        <v>54</v>
      </c>
      <c r="N563" t="s">
        <v>48</v>
      </c>
      <c r="O563" t="s">
        <v>25</v>
      </c>
      <c r="P563">
        <v>6</v>
      </c>
    </row>
    <row r="564" spans="1:16" x14ac:dyDescent="0.3">
      <c r="A564" t="s">
        <v>1650</v>
      </c>
      <c r="B564" t="s">
        <v>192</v>
      </c>
      <c r="C564" t="str">
        <f t="shared" si="16"/>
        <v>February</v>
      </c>
      <c r="D564">
        <f t="shared" si="17"/>
        <v>2025</v>
      </c>
      <c r="E564" t="s">
        <v>277</v>
      </c>
      <c r="F564" t="s">
        <v>829</v>
      </c>
      <c r="G564" t="s">
        <v>37</v>
      </c>
      <c r="H564" t="s">
        <v>38</v>
      </c>
      <c r="I564" t="s">
        <v>130</v>
      </c>
      <c r="J564">
        <v>1195</v>
      </c>
      <c r="K564">
        <v>4</v>
      </c>
      <c r="L564">
        <v>4780</v>
      </c>
      <c r="M564" t="s">
        <v>61</v>
      </c>
      <c r="N564" t="s">
        <v>31</v>
      </c>
      <c r="O564" t="s">
        <v>62</v>
      </c>
      <c r="P564">
        <v>26</v>
      </c>
    </row>
    <row r="565" spans="1:16" x14ac:dyDescent="0.3">
      <c r="A565" t="s">
        <v>1651</v>
      </c>
      <c r="B565" t="s">
        <v>1652</v>
      </c>
      <c r="C565" t="str">
        <f t="shared" si="16"/>
        <v>May</v>
      </c>
      <c r="D565">
        <f t="shared" si="17"/>
        <v>2025</v>
      </c>
      <c r="E565" t="s">
        <v>1156</v>
      </c>
      <c r="F565" t="s">
        <v>514</v>
      </c>
      <c r="G565" t="s">
        <v>37</v>
      </c>
      <c r="H565" t="s">
        <v>21</v>
      </c>
      <c r="I565" t="s">
        <v>109</v>
      </c>
      <c r="J565">
        <v>303</v>
      </c>
      <c r="K565">
        <v>3</v>
      </c>
      <c r="L565">
        <v>909</v>
      </c>
      <c r="M565" t="s">
        <v>54</v>
      </c>
      <c r="N565" t="s">
        <v>40</v>
      </c>
      <c r="O565" t="s">
        <v>25</v>
      </c>
      <c r="P565">
        <v>25</v>
      </c>
    </row>
    <row r="566" spans="1:16" x14ac:dyDescent="0.3">
      <c r="A566" t="s">
        <v>1653</v>
      </c>
      <c r="B566" t="s">
        <v>335</v>
      </c>
      <c r="C566" t="str">
        <f t="shared" si="16"/>
        <v>June</v>
      </c>
      <c r="D566">
        <f t="shared" si="17"/>
        <v>2025</v>
      </c>
      <c r="E566" t="s">
        <v>1355</v>
      </c>
      <c r="F566" t="s">
        <v>1270</v>
      </c>
      <c r="G566" t="s">
        <v>37</v>
      </c>
      <c r="H566" t="s">
        <v>38</v>
      </c>
      <c r="I566" t="s">
        <v>60</v>
      </c>
      <c r="J566">
        <v>1314</v>
      </c>
      <c r="K566">
        <v>3</v>
      </c>
      <c r="L566">
        <v>3942</v>
      </c>
      <c r="M566" t="s">
        <v>23</v>
      </c>
      <c r="N566" t="s">
        <v>31</v>
      </c>
      <c r="O566" t="s">
        <v>41</v>
      </c>
      <c r="P566">
        <v>21</v>
      </c>
    </row>
    <row r="567" spans="1:16" x14ac:dyDescent="0.3">
      <c r="A567" t="s">
        <v>1654</v>
      </c>
      <c r="B567" t="s">
        <v>1655</v>
      </c>
      <c r="C567" t="str">
        <f t="shared" si="16"/>
        <v>May</v>
      </c>
      <c r="D567">
        <f t="shared" si="17"/>
        <v>2024</v>
      </c>
      <c r="E567" t="s">
        <v>1326</v>
      </c>
      <c r="F567" t="s">
        <v>1310</v>
      </c>
      <c r="G567" t="s">
        <v>20</v>
      </c>
      <c r="H567" t="s">
        <v>21</v>
      </c>
      <c r="I567" t="s">
        <v>77</v>
      </c>
      <c r="J567">
        <v>359</v>
      </c>
      <c r="K567">
        <v>4</v>
      </c>
      <c r="L567">
        <v>1436</v>
      </c>
      <c r="M567" t="s">
        <v>61</v>
      </c>
      <c r="N567" t="s">
        <v>40</v>
      </c>
      <c r="O567" t="s">
        <v>25</v>
      </c>
      <c r="P567">
        <v>1</v>
      </c>
    </row>
    <row r="568" spans="1:16" x14ac:dyDescent="0.3">
      <c r="A568" t="s">
        <v>1656</v>
      </c>
      <c r="B568" t="s">
        <v>1137</v>
      </c>
      <c r="C568" t="str">
        <f t="shared" si="16"/>
        <v>July</v>
      </c>
      <c r="D568">
        <f t="shared" si="17"/>
        <v>2025</v>
      </c>
      <c r="E568" t="s">
        <v>1631</v>
      </c>
      <c r="F568" t="s">
        <v>210</v>
      </c>
      <c r="G568" t="s">
        <v>46</v>
      </c>
      <c r="H568" t="s">
        <v>38</v>
      </c>
      <c r="I568" t="s">
        <v>47</v>
      </c>
      <c r="J568">
        <v>587</v>
      </c>
      <c r="K568">
        <v>3</v>
      </c>
      <c r="L568">
        <v>1761</v>
      </c>
      <c r="M568" t="s">
        <v>23</v>
      </c>
      <c r="N568" t="s">
        <v>48</v>
      </c>
      <c r="O568" t="s">
        <v>62</v>
      </c>
      <c r="P568">
        <v>7</v>
      </c>
    </row>
    <row r="569" spans="1:16" x14ac:dyDescent="0.3">
      <c r="A569" t="s">
        <v>1657</v>
      </c>
      <c r="B569" t="s">
        <v>512</v>
      </c>
      <c r="C569" t="str">
        <f t="shared" si="16"/>
        <v>October</v>
      </c>
      <c r="D569">
        <f t="shared" si="17"/>
        <v>2024</v>
      </c>
      <c r="E569" t="s">
        <v>1658</v>
      </c>
      <c r="F569" t="s">
        <v>530</v>
      </c>
      <c r="G569" t="s">
        <v>20</v>
      </c>
      <c r="H569" t="s">
        <v>71</v>
      </c>
      <c r="I569" t="s">
        <v>119</v>
      </c>
      <c r="J569">
        <v>225</v>
      </c>
      <c r="K569">
        <v>1</v>
      </c>
      <c r="L569">
        <v>225</v>
      </c>
      <c r="M569" t="s">
        <v>138</v>
      </c>
      <c r="N569" t="s">
        <v>24</v>
      </c>
      <c r="O569" t="s">
        <v>55</v>
      </c>
      <c r="P569">
        <v>7</v>
      </c>
    </row>
    <row r="570" spans="1:16" x14ac:dyDescent="0.3">
      <c r="A570" t="s">
        <v>1659</v>
      </c>
      <c r="B570" t="s">
        <v>1660</v>
      </c>
      <c r="C570" t="str">
        <f t="shared" si="16"/>
        <v>April</v>
      </c>
      <c r="D570">
        <f t="shared" si="17"/>
        <v>2024</v>
      </c>
      <c r="E570" t="s">
        <v>1159</v>
      </c>
      <c r="F570" t="s">
        <v>218</v>
      </c>
      <c r="G570" t="s">
        <v>46</v>
      </c>
      <c r="H570" t="s">
        <v>21</v>
      </c>
      <c r="I570" t="s">
        <v>109</v>
      </c>
      <c r="J570">
        <v>470</v>
      </c>
      <c r="K570">
        <v>5</v>
      </c>
      <c r="L570">
        <v>2350</v>
      </c>
      <c r="M570" t="s">
        <v>23</v>
      </c>
      <c r="N570" t="s">
        <v>31</v>
      </c>
      <c r="O570" t="s">
        <v>84</v>
      </c>
      <c r="P570">
        <v>10</v>
      </c>
    </row>
    <row r="571" spans="1:16" x14ac:dyDescent="0.3">
      <c r="A571" t="s">
        <v>1661</v>
      </c>
      <c r="B571" t="s">
        <v>408</v>
      </c>
      <c r="C571" t="str">
        <f t="shared" si="16"/>
        <v>May</v>
      </c>
      <c r="D571">
        <f t="shared" si="17"/>
        <v>2024</v>
      </c>
      <c r="E571" t="s">
        <v>940</v>
      </c>
      <c r="F571" t="s">
        <v>275</v>
      </c>
      <c r="G571" t="s">
        <v>20</v>
      </c>
      <c r="H571" t="s">
        <v>38</v>
      </c>
      <c r="I571" t="s">
        <v>325</v>
      </c>
      <c r="J571">
        <v>1157</v>
      </c>
      <c r="K571">
        <v>2</v>
      </c>
      <c r="L571">
        <v>2314</v>
      </c>
      <c r="M571" t="s">
        <v>61</v>
      </c>
      <c r="N571" t="s">
        <v>24</v>
      </c>
      <c r="O571" t="s">
        <v>55</v>
      </c>
      <c r="P571">
        <v>22</v>
      </c>
    </row>
    <row r="572" spans="1:16" x14ac:dyDescent="0.3">
      <c r="A572" t="s">
        <v>1662</v>
      </c>
      <c r="B572" t="s">
        <v>1361</v>
      </c>
      <c r="C572" t="str">
        <f t="shared" si="16"/>
        <v>August</v>
      </c>
      <c r="D572">
        <f t="shared" si="17"/>
        <v>2025</v>
      </c>
      <c r="E572" t="s">
        <v>1236</v>
      </c>
      <c r="F572" t="s">
        <v>1171</v>
      </c>
      <c r="G572" t="s">
        <v>46</v>
      </c>
      <c r="H572" t="s">
        <v>21</v>
      </c>
      <c r="I572" t="s">
        <v>22</v>
      </c>
      <c r="J572">
        <v>835</v>
      </c>
      <c r="K572">
        <v>1</v>
      </c>
      <c r="L572">
        <v>835</v>
      </c>
      <c r="M572" t="s">
        <v>54</v>
      </c>
      <c r="N572" t="s">
        <v>48</v>
      </c>
      <c r="O572" t="s">
        <v>32</v>
      </c>
      <c r="P572">
        <v>15</v>
      </c>
    </row>
    <row r="573" spans="1:16" x14ac:dyDescent="0.3">
      <c r="A573" t="s">
        <v>1663</v>
      </c>
      <c r="B573" t="s">
        <v>634</v>
      </c>
      <c r="C573" t="str">
        <f t="shared" si="16"/>
        <v>August</v>
      </c>
      <c r="D573">
        <f t="shared" si="17"/>
        <v>2024</v>
      </c>
      <c r="E573" t="s">
        <v>1664</v>
      </c>
      <c r="F573" t="s">
        <v>187</v>
      </c>
      <c r="G573" t="s">
        <v>37</v>
      </c>
      <c r="H573" t="s">
        <v>38</v>
      </c>
      <c r="I573" t="s">
        <v>47</v>
      </c>
      <c r="J573">
        <v>828</v>
      </c>
      <c r="K573">
        <v>3</v>
      </c>
      <c r="L573">
        <v>2484</v>
      </c>
      <c r="M573" t="s">
        <v>23</v>
      </c>
      <c r="N573" t="s">
        <v>48</v>
      </c>
      <c r="O573" t="s">
        <v>84</v>
      </c>
      <c r="P573">
        <v>7</v>
      </c>
    </row>
    <row r="574" spans="1:16" x14ac:dyDescent="0.3">
      <c r="A574" t="s">
        <v>1665</v>
      </c>
      <c r="B574" t="s">
        <v>1666</v>
      </c>
      <c r="C574" t="str">
        <f t="shared" si="16"/>
        <v>February</v>
      </c>
      <c r="D574">
        <f t="shared" si="17"/>
        <v>2024</v>
      </c>
      <c r="E574" t="s">
        <v>1667</v>
      </c>
      <c r="F574" t="s">
        <v>1212</v>
      </c>
      <c r="G574" t="s">
        <v>37</v>
      </c>
      <c r="H574" t="s">
        <v>38</v>
      </c>
      <c r="I574" t="s">
        <v>130</v>
      </c>
      <c r="J574">
        <v>1035</v>
      </c>
      <c r="K574">
        <v>1</v>
      </c>
      <c r="L574">
        <v>1035</v>
      </c>
      <c r="M574" t="s">
        <v>138</v>
      </c>
      <c r="N574" t="s">
        <v>40</v>
      </c>
      <c r="O574" t="s">
        <v>78</v>
      </c>
      <c r="P574">
        <v>9</v>
      </c>
    </row>
    <row r="575" spans="1:16" x14ac:dyDescent="0.3">
      <c r="A575" t="s">
        <v>1668</v>
      </c>
      <c r="B575" t="s">
        <v>1050</v>
      </c>
      <c r="C575" t="str">
        <f t="shared" si="16"/>
        <v>July</v>
      </c>
      <c r="D575">
        <f t="shared" si="17"/>
        <v>2024</v>
      </c>
      <c r="E575" t="s">
        <v>1669</v>
      </c>
      <c r="F575" t="s">
        <v>582</v>
      </c>
      <c r="G575" t="s">
        <v>46</v>
      </c>
      <c r="H575" t="s">
        <v>71</v>
      </c>
      <c r="I575" t="s">
        <v>72</v>
      </c>
      <c r="J575">
        <v>1086</v>
      </c>
      <c r="K575">
        <v>5</v>
      </c>
      <c r="L575">
        <v>5430</v>
      </c>
      <c r="M575" t="s">
        <v>138</v>
      </c>
      <c r="N575" t="s">
        <v>31</v>
      </c>
      <c r="O575" t="s">
        <v>84</v>
      </c>
      <c r="P575">
        <v>19</v>
      </c>
    </row>
    <row r="576" spans="1:16" x14ac:dyDescent="0.3">
      <c r="A576" t="s">
        <v>1670</v>
      </c>
      <c r="B576" t="s">
        <v>1671</v>
      </c>
      <c r="C576" t="str">
        <f t="shared" si="16"/>
        <v>April</v>
      </c>
      <c r="D576">
        <f t="shared" si="17"/>
        <v>2024</v>
      </c>
      <c r="E576" t="s">
        <v>474</v>
      </c>
      <c r="F576" t="s">
        <v>1253</v>
      </c>
      <c r="G576" t="s">
        <v>37</v>
      </c>
      <c r="H576" t="s">
        <v>21</v>
      </c>
      <c r="I576" t="s">
        <v>109</v>
      </c>
      <c r="J576">
        <v>810</v>
      </c>
      <c r="K576">
        <v>2</v>
      </c>
      <c r="L576">
        <v>1620</v>
      </c>
      <c r="M576" t="s">
        <v>138</v>
      </c>
      <c r="N576" t="s">
        <v>31</v>
      </c>
      <c r="O576" t="s">
        <v>84</v>
      </c>
      <c r="P576">
        <v>24</v>
      </c>
    </row>
    <row r="577" spans="1:16" x14ac:dyDescent="0.3">
      <c r="A577" t="s">
        <v>1672</v>
      </c>
      <c r="B577" t="s">
        <v>1388</v>
      </c>
      <c r="C577" t="str">
        <f t="shared" si="16"/>
        <v>March</v>
      </c>
      <c r="D577">
        <f t="shared" si="17"/>
        <v>2025</v>
      </c>
      <c r="E577" t="s">
        <v>1080</v>
      </c>
      <c r="F577" t="s">
        <v>846</v>
      </c>
      <c r="G577" t="s">
        <v>46</v>
      </c>
      <c r="H577" t="s">
        <v>21</v>
      </c>
      <c r="I577" t="s">
        <v>53</v>
      </c>
      <c r="J577">
        <v>620</v>
      </c>
      <c r="K577">
        <v>3</v>
      </c>
      <c r="L577">
        <v>1860</v>
      </c>
      <c r="M577" t="s">
        <v>54</v>
      </c>
      <c r="N577" t="s">
        <v>31</v>
      </c>
      <c r="O577" t="s">
        <v>62</v>
      </c>
      <c r="P577">
        <v>26</v>
      </c>
    </row>
    <row r="578" spans="1:16" x14ac:dyDescent="0.3">
      <c r="A578" t="s">
        <v>1673</v>
      </c>
      <c r="B578" t="s">
        <v>1674</v>
      </c>
      <c r="C578" t="str">
        <f t="shared" si="16"/>
        <v>June</v>
      </c>
      <c r="D578">
        <f t="shared" si="17"/>
        <v>2025</v>
      </c>
      <c r="E578" t="s">
        <v>1675</v>
      </c>
      <c r="F578" t="s">
        <v>306</v>
      </c>
      <c r="G578" t="s">
        <v>46</v>
      </c>
      <c r="H578" t="s">
        <v>71</v>
      </c>
      <c r="I578" t="s">
        <v>124</v>
      </c>
      <c r="J578">
        <v>820</v>
      </c>
      <c r="K578">
        <v>2</v>
      </c>
      <c r="L578">
        <v>1640</v>
      </c>
      <c r="M578" t="s">
        <v>23</v>
      </c>
      <c r="N578" t="s">
        <v>31</v>
      </c>
      <c r="O578" t="s">
        <v>41</v>
      </c>
      <c r="P578">
        <v>9</v>
      </c>
    </row>
    <row r="579" spans="1:16" x14ac:dyDescent="0.3">
      <c r="A579" t="s">
        <v>1676</v>
      </c>
      <c r="B579" t="s">
        <v>1677</v>
      </c>
      <c r="C579" t="str">
        <f t="shared" ref="C579:C642" si="18">TEXT(B579,"MMMM")</f>
        <v>July</v>
      </c>
      <c r="D579">
        <f t="shared" ref="D579:D642" si="19">YEAR(B579)</f>
        <v>2024</v>
      </c>
      <c r="E579" t="s">
        <v>1034</v>
      </c>
      <c r="F579" t="s">
        <v>1562</v>
      </c>
      <c r="G579" t="s">
        <v>37</v>
      </c>
      <c r="H579" t="s">
        <v>38</v>
      </c>
      <c r="I579" t="s">
        <v>130</v>
      </c>
      <c r="J579">
        <v>620</v>
      </c>
      <c r="K579">
        <v>1</v>
      </c>
      <c r="L579">
        <v>620</v>
      </c>
      <c r="M579" t="s">
        <v>23</v>
      </c>
      <c r="N579" t="s">
        <v>31</v>
      </c>
      <c r="O579" t="s">
        <v>25</v>
      </c>
      <c r="P579">
        <v>7</v>
      </c>
    </row>
    <row r="580" spans="1:16" x14ac:dyDescent="0.3">
      <c r="A580" t="s">
        <v>1678</v>
      </c>
      <c r="B580" t="s">
        <v>1397</v>
      </c>
      <c r="C580" t="str">
        <f t="shared" si="18"/>
        <v>March</v>
      </c>
      <c r="D580">
        <f t="shared" si="19"/>
        <v>2025</v>
      </c>
      <c r="E580" t="s">
        <v>1243</v>
      </c>
      <c r="F580" t="s">
        <v>1679</v>
      </c>
      <c r="G580" t="s">
        <v>37</v>
      </c>
      <c r="H580" t="s">
        <v>21</v>
      </c>
      <c r="I580" t="s">
        <v>77</v>
      </c>
      <c r="J580">
        <v>828</v>
      </c>
      <c r="K580">
        <v>4</v>
      </c>
      <c r="L580">
        <v>3312</v>
      </c>
      <c r="M580" t="s">
        <v>138</v>
      </c>
      <c r="N580" t="s">
        <v>24</v>
      </c>
      <c r="O580" t="s">
        <v>25</v>
      </c>
      <c r="P580">
        <v>5</v>
      </c>
    </row>
    <row r="581" spans="1:16" x14ac:dyDescent="0.3">
      <c r="A581" t="s">
        <v>1680</v>
      </c>
      <c r="B581" t="s">
        <v>1681</v>
      </c>
      <c r="C581" t="str">
        <f t="shared" si="18"/>
        <v>January</v>
      </c>
      <c r="D581">
        <f t="shared" si="19"/>
        <v>2024</v>
      </c>
      <c r="E581" t="s">
        <v>1682</v>
      </c>
      <c r="F581" t="s">
        <v>762</v>
      </c>
      <c r="G581" t="s">
        <v>46</v>
      </c>
      <c r="H581" t="s">
        <v>21</v>
      </c>
      <c r="I581" t="s">
        <v>109</v>
      </c>
      <c r="J581">
        <v>1480</v>
      </c>
      <c r="K581">
        <v>1</v>
      </c>
      <c r="L581">
        <v>1480</v>
      </c>
      <c r="M581" t="s">
        <v>30</v>
      </c>
      <c r="N581" t="s">
        <v>48</v>
      </c>
      <c r="O581" t="s">
        <v>84</v>
      </c>
      <c r="P581">
        <v>17</v>
      </c>
    </row>
    <row r="582" spans="1:16" x14ac:dyDescent="0.3">
      <c r="A582" t="s">
        <v>1683</v>
      </c>
      <c r="B582" t="s">
        <v>714</v>
      </c>
      <c r="C582" t="str">
        <f t="shared" si="18"/>
        <v>July</v>
      </c>
      <c r="D582">
        <f t="shared" si="19"/>
        <v>2024</v>
      </c>
      <c r="E582" t="s">
        <v>777</v>
      </c>
      <c r="F582" t="s">
        <v>92</v>
      </c>
      <c r="G582" t="s">
        <v>37</v>
      </c>
      <c r="H582" t="s">
        <v>38</v>
      </c>
      <c r="I582" t="s">
        <v>325</v>
      </c>
      <c r="J582">
        <v>1139</v>
      </c>
      <c r="K582">
        <v>3</v>
      </c>
      <c r="L582">
        <v>3417</v>
      </c>
      <c r="M582" t="s">
        <v>138</v>
      </c>
      <c r="N582" t="s">
        <v>40</v>
      </c>
      <c r="O582" t="s">
        <v>62</v>
      </c>
      <c r="P582">
        <v>11</v>
      </c>
    </row>
    <row r="583" spans="1:16" x14ac:dyDescent="0.3">
      <c r="A583" t="s">
        <v>1684</v>
      </c>
      <c r="B583" t="s">
        <v>615</v>
      </c>
      <c r="C583" t="str">
        <f t="shared" si="18"/>
        <v>April</v>
      </c>
      <c r="D583">
        <f t="shared" si="19"/>
        <v>2025</v>
      </c>
      <c r="E583" t="s">
        <v>1685</v>
      </c>
      <c r="F583" t="s">
        <v>778</v>
      </c>
      <c r="G583" t="s">
        <v>20</v>
      </c>
      <c r="H583" t="s">
        <v>38</v>
      </c>
      <c r="I583" t="s">
        <v>39</v>
      </c>
      <c r="J583">
        <v>1029</v>
      </c>
      <c r="K583">
        <v>4</v>
      </c>
      <c r="L583">
        <v>4116</v>
      </c>
      <c r="M583" t="s">
        <v>61</v>
      </c>
      <c r="N583" t="s">
        <v>24</v>
      </c>
      <c r="O583" t="s">
        <v>41</v>
      </c>
      <c r="P583">
        <v>27</v>
      </c>
    </row>
    <row r="584" spans="1:16" x14ac:dyDescent="0.3">
      <c r="A584" t="s">
        <v>1686</v>
      </c>
      <c r="B584" t="s">
        <v>1687</v>
      </c>
      <c r="C584" t="str">
        <f t="shared" si="18"/>
        <v>March</v>
      </c>
      <c r="D584">
        <f t="shared" si="19"/>
        <v>2024</v>
      </c>
      <c r="E584" t="s">
        <v>1096</v>
      </c>
      <c r="F584" t="s">
        <v>1227</v>
      </c>
      <c r="G584" t="s">
        <v>37</v>
      </c>
      <c r="H584" t="s">
        <v>71</v>
      </c>
      <c r="I584" t="s">
        <v>96</v>
      </c>
      <c r="J584">
        <v>712</v>
      </c>
      <c r="K584">
        <v>4</v>
      </c>
      <c r="L584">
        <v>2848</v>
      </c>
      <c r="M584" t="s">
        <v>54</v>
      </c>
      <c r="N584" t="s">
        <v>31</v>
      </c>
      <c r="O584" t="s">
        <v>55</v>
      </c>
      <c r="P584">
        <v>27</v>
      </c>
    </row>
    <row r="585" spans="1:16" x14ac:dyDescent="0.3">
      <c r="A585" t="s">
        <v>1688</v>
      </c>
      <c r="B585" t="s">
        <v>1689</v>
      </c>
      <c r="C585" t="str">
        <f t="shared" si="18"/>
        <v>September</v>
      </c>
      <c r="D585">
        <f t="shared" si="19"/>
        <v>2024</v>
      </c>
      <c r="E585" t="s">
        <v>1150</v>
      </c>
      <c r="F585" t="s">
        <v>45</v>
      </c>
      <c r="G585" t="s">
        <v>37</v>
      </c>
      <c r="H585" t="s">
        <v>71</v>
      </c>
      <c r="I585" t="s">
        <v>83</v>
      </c>
      <c r="J585">
        <v>382</v>
      </c>
      <c r="K585">
        <v>4</v>
      </c>
      <c r="L585">
        <v>1528</v>
      </c>
      <c r="M585" t="s">
        <v>61</v>
      </c>
      <c r="N585" t="s">
        <v>31</v>
      </c>
      <c r="O585" t="s">
        <v>125</v>
      </c>
      <c r="P585">
        <v>25</v>
      </c>
    </row>
    <row r="586" spans="1:16" x14ac:dyDescent="0.3">
      <c r="A586" t="s">
        <v>1690</v>
      </c>
      <c r="B586" t="s">
        <v>677</v>
      </c>
      <c r="C586" t="str">
        <f t="shared" si="18"/>
        <v>February</v>
      </c>
      <c r="D586">
        <f t="shared" si="19"/>
        <v>2024</v>
      </c>
      <c r="E586" t="s">
        <v>1159</v>
      </c>
      <c r="F586" t="s">
        <v>1324</v>
      </c>
      <c r="G586" t="s">
        <v>20</v>
      </c>
      <c r="H586" t="s">
        <v>21</v>
      </c>
      <c r="I586" t="s">
        <v>109</v>
      </c>
      <c r="J586">
        <v>1490</v>
      </c>
      <c r="K586">
        <v>3</v>
      </c>
      <c r="L586">
        <v>4470</v>
      </c>
      <c r="M586" t="s">
        <v>54</v>
      </c>
      <c r="N586" t="s">
        <v>31</v>
      </c>
      <c r="O586" t="s">
        <v>32</v>
      </c>
      <c r="P586">
        <v>30</v>
      </c>
    </row>
    <row r="587" spans="1:16" x14ac:dyDescent="0.3">
      <c r="A587" t="s">
        <v>1691</v>
      </c>
      <c r="B587" t="s">
        <v>292</v>
      </c>
      <c r="C587" t="str">
        <f t="shared" si="18"/>
        <v>February</v>
      </c>
      <c r="D587">
        <f t="shared" si="19"/>
        <v>2024</v>
      </c>
      <c r="E587" t="s">
        <v>1692</v>
      </c>
      <c r="F587" t="s">
        <v>632</v>
      </c>
      <c r="G587" t="s">
        <v>20</v>
      </c>
      <c r="H587" t="s">
        <v>38</v>
      </c>
      <c r="I587" t="s">
        <v>47</v>
      </c>
      <c r="J587">
        <v>753</v>
      </c>
      <c r="K587">
        <v>2</v>
      </c>
      <c r="L587">
        <v>1506</v>
      </c>
      <c r="M587" t="s">
        <v>30</v>
      </c>
      <c r="N587" t="s">
        <v>40</v>
      </c>
      <c r="O587" t="s">
        <v>32</v>
      </c>
      <c r="P587">
        <v>0</v>
      </c>
    </row>
    <row r="588" spans="1:16" x14ac:dyDescent="0.3">
      <c r="A588" t="s">
        <v>1693</v>
      </c>
      <c r="B588" t="s">
        <v>1694</v>
      </c>
      <c r="C588" t="str">
        <f t="shared" si="18"/>
        <v>January</v>
      </c>
      <c r="D588">
        <f t="shared" si="19"/>
        <v>2025</v>
      </c>
      <c r="E588" t="s">
        <v>1413</v>
      </c>
      <c r="F588" t="s">
        <v>1695</v>
      </c>
      <c r="G588" t="s">
        <v>20</v>
      </c>
      <c r="H588" t="s">
        <v>21</v>
      </c>
      <c r="I588" t="s">
        <v>22</v>
      </c>
      <c r="J588">
        <v>844</v>
      </c>
      <c r="K588">
        <v>5</v>
      </c>
      <c r="L588">
        <v>4220</v>
      </c>
      <c r="M588" t="s">
        <v>30</v>
      </c>
      <c r="N588" t="s">
        <v>31</v>
      </c>
      <c r="O588" t="s">
        <v>125</v>
      </c>
      <c r="P588">
        <v>5</v>
      </c>
    </row>
    <row r="589" spans="1:16" x14ac:dyDescent="0.3">
      <c r="A589" t="s">
        <v>1696</v>
      </c>
      <c r="B589" t="s">
        <v>1697</v>
      </c>
      <c r="C589" t="str">
        <f t="shared" si="18"/>
        <v>May</v>
      </c>
      <c r="D589">
        <f t="shared" si="19"/>
        <v>2025</v>
      </c>
      <c r="E589" t="s">
        <v>1698</v>
      </c>
      <c r="F589" t="s">
        <v>1421</v>
      </c>
      <c r="G589" t="s">
        <v>37</v>
      </c>
      <c r="H589" t="s">
        <v>71</v>
      </c>
      <c r="I589" t="s">
        <v>96</v>
      </c>
      <c r="J589">
        <v>321</v>
      </c>
      <c r="K589">
        <v>5</v>
      </c>
      <c r="L589">
        <v>1605</v>
      </c>
      <c r="M589" t="s">
        <v>30</v>
      </c>
      <c r="N589" t="s">
        <v>24</v>
      </c>
      <c r="O589" t="s">
        <v>125</v>
      </c>
      <c r="P589">
        <v>6</v>
      </c>
    </row>
    <row r="590" spans="1:16" x14ac:dyDescent="0.3">
      <c r="A590" t="s">
        <v>1699</v>
      </c>
      <c r="B590" t="s">
        <v>889</v>
      </c>
      <c r="C590" t="str">
        <f t="shared" si="18"/>
        <v>October</v>
      </c>
      <c r="D590">
        <f t="shared" si="19"/>
        <v>2024</v>
      </c>
      <c r="E590" t="s">
        <v>1700</v>
      </c>
      <c r="F590" t="s">
        <v>313</v>
      </c>
      <c r="G590" t="s">
        <v>20</v>
      </c>
      <c r="H590" t="s">
        <v>71</v>
      </c>
      <c r="I590" t="s">
        <v>72</v>
      </c>
      <c r="J590">
        <v>496</v>
      </c>
      <c r="K590">
        <v>5</v>
      </c>
      <c r="L590">
        <v>2480</v>
      </c>
      <c r="M590" t="s">
        <v>23</v>
      </c>
      <c r="N590" t="s">
        <v>24</v>
      </c>
      <c r="O590" t="s">
        <v>41</v>
      </c>
      <c r="P590">
        <v>3</v>
      </c>
    </row>
    <row r="591" spans="1:16" x14ac:dyDescent="0.3">
      <c r="A591" t="s">
        <v>1701</v>
      </c>
      <c r="B591" t="s">
        <v>337</v>
      </c>
      <c r="C591" t="str">
        <f t="shared" si="18"/>
        <v>March</v>
      </c>
      <c r="D591">
        <f t="shared" si="19"/>
        <v>2024</v>
      </c>
      <c r="E591" t="s">
        <v>1702</v>
      </c>
      <c r="F591" t="s">
        <v>1611</v>
      </c>
      <c r="G591" t="s">
        <v>46</v>
      </c>
      <c r="H591" t="s">
        <v>38</v>
      </c>
      <c r="I591" t="s">
        <v>130</v>
      </c>
      <c r="J591">
        <v>1368</v>
      </c>
      <c r="K591">
        <v>3</v>
      </c>
      <c r="L591">
        <v>4104</v>
      </c>
      <c r="M591" t="s">
        <v>61</v>
      </c>
      <c r="N591" t="s">
        <v>31</v>
      </c>
      <c r="O591" t="s">
        <v>125</v>
      </c>
      <c r="P591">
        <v>10</v>
      </c>
    </row>
    <row r="592" spans="1:16" x14ac:dyDescent="0.3">
      <c r="A592" t="s">
        <v>1703</v>
      </c>
      <c r="B592" t="s">
        <v>196</v>
      </c>
      <c r="C592" t="str">
        <f t="shared" si="18"/>
        <v>May</v>
      </c>
      <c r="D592">
        <f t="shared" si="19"/>
        <v>2025</v>
      </c>
      <c r="E592" t="s">
        <v>112</v>
      </c>
      <c r="F592" t="s">
        <v>1002</v>
      </c>
      <c r="G592" t="s">
        <v>46</v>
      </c>
      <c r="H592" t="s">
        <v>38</v>
      </c>
      <c r="I592" t="s">
        <v>130</v>
      </c>
      <c r="J592">
        <v>550</v>
      </c>
      <c r="K592">
        <v>2</v>
      </c>
      <c r="L592">
        <v>1100</v>
      </c>
      <c r="M592" t="s">
        <v>30</v>
      </c>
      <c r="N592" t="s">
        <v>40</v>
      </c>
      <c r="O592" t="s">
        <v>78</v>
      </c>
      <c r="P592">
        <v>28</v>
      </c>
    </row>
    <row r="593" spans="1:16" x14ac:dyDescent="0.3">
      <c r="A593" t="s">
        <v>1704</v>
      </c>
      <c r="B593" t="s">
        <v>792</v>
      </c>
      <c r="C593" t="str">
        <f t="shared" si="18"/>
        <v>December</v>
      </c>
      <c r="D593">
        <f t="shared" si="19"/>
        <v>2024</v>
      </c>
      <c r="E593" t="s">
        <v>1120</v>
      </c>
      <c r="F593" t="s">
        <v>313</v>
      </c>
      <c r="G593" t="s">
        <v>20</v>
      </c>
      <c r="H593" t="s">
        <v>21</v>
      </c>
      <c r="I593" t="s">
        <v>22</v>
      </c>
      <c r="J593">
        <v>669</v>
      </c>
      <c r="K593">
        <v>1</v>
      </c>
      <c r="L593">
        <v>669</v>
      </c>
      <c r="M593" t="s">
        <v>61</v>
      </c>
      <c r="N593" t="s">
        <v>40</v>
      </c>
      <c r="O593" t="s">
        <v>84</v>
      </c>
      <c r="P593">
        <v>6</v>
      </c>
    </row>
    <row r="594" spans="1:16" x14ac:dyDescent="0.3">
      <c r="A594" t="s">
        <v>1705</v>
      </c>
      <c r="B594" t="s">
        <v>743</v>
      </c>
      <c r="C594" t="str">
        <f t="shared" si="18"/>
        <v>May</v>
      </c>
      <c r="D594">
        <f t="shared" si="19"/>
        <v>2025</v>
      </c>
      <c r="E594" t="s">
        <v>1706</v>
      </c>
      <c r="F594" t="s">
        <v>1707</v>
      </c>
      <c r="G594" t="s">
        <v>37</v>
      </c>
      <c r="H594" t="s">
        <v>38</v>
      </c>
      <c r="I594" t="s">
        <v>39</v>
      </c>
      <c r="J594">
        <v>488</v>
      </c>
      <c r="K594">
        <v>3</v>
      </c>
      <c r="L594">
        <v>1464</v>
      </c>
      <c r="M594" t="s">
        <v>61</v>
      </c>
      <c r="N594" t="s">
        <v>31</v>
      </c>
      <c r="O594" t="s">
        <v>41</v>
      </c>
      <c r="P594">
        <v>23</v>
      </c>
    </row>
    <row r="595" spans="1:16" x14ac:dyDescent="0.3">
      <c r="A595" t="s">
        <v>1708</v>
      </c>
      <c r="B595" t="s">
        <v>1709</v>
      </c>
      <c r="C595" t="str">
        <f t="shared" si="18"/>
        <v>July</v>
      </c>
      <c r="D595">
        <f t="shared" si="19"/>
        <v>2024</v>
      </c>
      <c r="E595" t="s">
        <v>1710</v>
      </c>
      <c r="F595" t="s">
        <v>1711</v>
      </c>
      <c r="G595" t="s">
        <v>37</v>
      </c>
      <c r="H595" t="s">
        <v>21</v>
      </c>
      <c r="I595" t="s">
        <v>77</v>
      </c>
      <c r="J595">
        <v>557</v>
      </c>
      <c r="K595">
        <v>5</v>
      </c>
      <c r="L595">
        <v>2785</v>
      </c>
      <c r="M595" t="s">
        <v>138</v>
      </c>
      <c r="N595" t="s">
        <v>48</v>
      </c>
      <c r="O595" t="s">
        <v>125</v>
      </c>
      <c r="P595">
        <v>7</v>
      </c>
    </row>
    <row r="596" spans="1:16" x14ac:dyDescent="0.3">
      <c r="A596" t="s">
        <v>1712</v>
      </c>
      <c r="B596" t="s">
        <v>1417</v>
      </c>
      <c r="C596" t="str">
        <f t="shared" si="18"/>
        <v>December</v>
      </c>
      <c r="D596">
        <f t="shared" si="19"/>
        <v>2024</v>
      </c>
      <c r="E596" t="s">
        <v>1713</v>
      </c>
      <c r="F596" t="s">
        <v>1714</v>
      </c>
      <c r="G596" t="s">
        <v>46</v>
      </c>
      <c r="H596" t="s">
        <v>21</v>
      </c>
      <c r="I596" t="s">
        <v>22</v>
      </c>
      <c r="J596">
        <v>1420</v>
      </c>
      <c r="K596">
        <v>2</v>
      </c>
      <c r="L596">
        <v>2840</v>
      </c>
      <c r="M596" t="s">
        <v>61</v>
      </c>
      <c r="N596" t="s">
        <v>31</v>
      </c>
      <c r="O596" t="s">
        <v>84</v>
      </c>
      <c r="P596">
        <v>25</v>
      </c>
    </row>
    <row r="597" spans="1:16" x14ac:dyDescent="0.3">
      <c r="A597" t="s">
        <v>1715</v>
      </c>
      <c r="B597" t="s">
        <v>224</v>
      </c>
      <c r="C597" t="str">
        <f t="shared" si="18"/>
        <v>June</v>
      </c>
      <c r="D597">
        <f t="shared" si="19"/>
        <v>2024</v>
      </c>
      <c r="E597" t="s">
        <v>1359</v>
      </c>
      <c r="F597" t="s">
        <v>1347</v>
      </c>
      <c r="G597" t="s">
        <v>37</v>
      </c>
      <c r="H597" t="s">
        <v>38</v>
      </c>
      <c r="I597" t="s">
        <v>39</v>
      </c>
      <c r="J597">
        <v>476</v>
      </c>
      <c r="K597">
        <v>4</v>
      </c>
      <c r="L597">
        <v>1904</v>
      </c>
      <c r="M597" t="s">
        <v>30</v>
      </c>
      <c r="N597" t="s">
        <v>40</v>
      </c>
      <c r="O597" t="s">
        <v>78</v>
      </c>
      <c r="P597">
        <v>0</v>
      </c>
    </row>
    <row r="598" spans="1:16" x14ac:dyDescent="0.3">
      <c r="A598" t="s">
        <v>1716</v>
      </c>
      <c r="B598" t="s">
        <v>680</v>
      </c>
      <c r="C598" t="str">
        <f t="shared" si="18"/>
        <v>April</v>
      </c>
      <c r="D598">
        <f t="shared" si="19"/>
        <v>2024</v>
      </c>
      <c r="E598" t="s">
        <v>550</v>
      </c>
      <c r="F598" t="s">
        <v>442</v>
      </c>
      <c r="G598" t="s">
        <v>37</v>
      </c>
      <c r="H598" t="s">
        <v>21</v>
      </c>
      <c r="I598" t="s">
        <v>114</v>
      </c>
      <c r="J598">
        <v>750</v>
      </c>
      <c r="K598">
        <v>5</v>
      </c>
      <c r="L598">
        <v>3750</v>
      </c>
      <c r="M598" t="s">
        <v>54</v>
      </c>
      <c r="N598" t="s">
        <v>31</v>
      </c>
      <c r="O598" t="s">
        <v>125</v>
      </c>
      <c r="P598">
        <v>10</v>
      </c>
    </row>
    <row r="599" spans="1:16" x14ac:dyDescent="0.3">
      <c r="A599" t="s">
        <v>1717</v>
      </c>
      <c r="B599" t="s">
        <v>488</v>
      </c>
      <c r="C599" t="str">
        <f t="shared" si="18"/>
        <v>December</v>
      </c>
      <c r="D599">
        <f t="shared" si="19"/>
        <v>2024</v>
      </c>
      <c r="E599" t="s">
        <v>1718</v>
      </c>
      <c r="F599" t="s">
        <v>568</v>
      </c>
      <c r="G599" t="s">
        <v>20</v>
      </c>
      <c r="H599" t="s">
        <v>38</v>
      </c>
      <c r="I599" t="s">
        <v>130</v>
      </c>
      <c r="J599">
        <v>270</v>
      </c>
      <c r="K599">
        <v>4</v>
      </c>
      <c r="L599">
        <v>1080</v>
      </c>
      <c r="M599" t="s">
        <v>30</v>
      </c>
      <c r="N599" t="s">
        <v>31</v>
      </c>
      <c r="O599" t="s">
        <v>32</v>
      </c>
      <c r="P599">
        <v>16</v>
      </c>
    </row>
    <row r="600" spans="1:16" x14ac:dyDescent="0.3">
      <c r="A600" t="s">
        <v>1719</v>
      </c>
      <c r="B600" t="s">
        <v>1720</v>
      </c>
      <c r="C600" t="str">
        <f t="shared" si="18"/>
        <v>January</v>
      </c>
      <c r="D600">
        <f t="shared" si="19"/>
        <v>2025</v>
      </c>
      <c r="E600" t="s">
        <v>262</v>
      </c>
      <c r="F600" t="s">
        <v>1321</v>
      </c>
      <c r="G600" t="s">
        <v>20</v>
      </c>
      <c r="H600" t="s">
        <v>71</v>
      </c>
      <c r="I600" t="s">
        <v>96</v>
      </c>
      <c r="J600">
        <v>795</v>
      </c>
      <c r="K600">
        <v>2</v>
      </c>
      <c r="L600">
        <v>1590</v>
      </c>
      <c r="M600" t="s">
        <v>61</v>
      </c>
      <c r="N600" t="s">
        <v>31</v>
      </c>
      <c r="O600" t="s">
        <v>41</v>
      </c>
      <c r="P600">
        <v>19</v>
      </c>
    </row>
    <row r="601" spans="1:16" x14ac:dyDescent="0.3">
      <c r="A601" t="s">
        <v>1721</v>
      </c>
      <c r="B601" t="s">
        <v>1722</v>
      </c>
      <c r="C601" t="str">
        <f t="shared" si="18"/>
        <v>July</v>
      </c>
      <c r="D601">
        <f t="shared" si="19"/>
        <v>2025</v>
      </c>
      <c r="E601" t="s">
        <v>1427</v>
      </c>
      <c r="F601" t="s">
        <v>622</v>
      </c>
      <c r="G601" t="s">
        <v>20</v>
      </c>
      <c r="H601" t="s">
        <v>21</v>
      </c>
      <c r="I601" t="s">
        <v>114</v>
      </c>
      <c r="J601">
        <v>388</v>
      </c>
      <c r="K601">
        <v>2</v>
      </c>
      <c r="L601">
        <v>776</v>
      </c>
      <c r="M601" t="s">
        <v>54</v>
      </c>
      <c r="N601" t="s">
        <v>40</v>
      </c>
      <c r="O601" t="s">
        <v>55</v>
      </c>
      <c r="P601">
        <v>24</v>
      </c>
    </row>
    <row r="602" spans="1:16" x14ac:dyDescent="0.3">
      <c r="A602" t="s">
        <v>1723</v>
      </c>
      <c r="B602" t="s">
        <v>1724</v>
      </c>
      <c r="C602" t="str">
        <f t="shared" si="18"/>
        <v>May</v>
      </c>
      <c r="D602">
        <f t="shared" si="19"/>
        <v>2025</v>
      </c>
      <c r="E602" t="s">
        <v>1725</v>
      </c>
      <c r="F602" t="s">
        <v>218</v>
      </c>
      <c r="G602" t="s">
        <v>20</v>
      </c>
      <c r="H602" t="s">
        <v>21</v>
      </c>
      <c r="I602" t="s">
        <v>114</v>
      </c>
      <c r="J602">
        <v>508</v>
      </c>
      <c r="K602">
        <v>1</v>
      </c>
      <c r="L602">
        <v>508</v>
      </c>
      <c r="M602" t="s">
        <v>30</v>
      </c>
      <c r="N602" t="s">
        <v>24</v>
      </c>
      <c r="O602" t="s">
        <v>25</v>
      </c>
      <c r="P602">
        <v>11</v>
      </c>
    </row>
    <row r="603" spans="1:16" x14ac:dyDescent="0.3">
      <c r="A603" t="s">
        <v>1726</v>
      </c>
      <c r="B603" t="s">
        <v>1727</v>
      </c>
      <c r="C603" t="str">
        <f t="shared" si="18"/>
        <v>June</v>
      </c>
      <c r="D603">
        <f t="shared" si="19"/>
        <v>2025</v>
      </c>
      <c r="E603" t="s">
        <v>1649</v>
      </c>
      <c r="F603" t="s">
        <v>723</v>
      </c>
      <c r="G603" t="s">
        <v>20</v>
      </c>
      <c r="H603" t="s">
        <v>71</v>
      </c>
      <c r="I603" t="s">
        <v>83</v>
      </c>
      <c r="J603">
        <v>588</v>
      </c>
      <c r="K603">
        <v>3</v>
      </c>
      <c r="L603">
        <v>1764</v>
      </c>
      <c r="M603" t="s">
        <v>138</v>
      </c>
      <c r="N603" t="s">
        <v>24</v>
      </c>
      <c r="O603" t="s">
        <v>55</v>
      </c>
      <c r="P603">
        <v>29</v>
      </c>
    </row>
    <row r="604" spans="1:16" x14ac:dyDescent="0.3">
      <c r="A604" t="s">
        <v>1728</v>
      </c>
      <c r="B604" t="s">
        <v>1729</v>
      </c>
      <c r="C604" t="str">
        <f t="shared" si="18"/>
        <v>June</v>
      </c>
      <c r="D604">
        <f t="shared" si="19"/>
        <v>2024</v>
      </c>
      <c r="E604" t="s">
        <v>1730</v>
      </c>
      <c r="F604" t="s">
        <v>1299</v>
      </c>
      <c r="G604" t="s">
        <v>20</v>
      </c>
      <c r="H604" t="s">
        <v>21</v>
      </c>
      <c r="I604" t="s">
        <v>53</v>
      </c>
      <c r="J604">
        <v>901</v>
      </c>
      <c r="K604">
        <v>5</v>
      </c>
      <c r="L604">
        <v>4505</v>
      </c>
      <c r="M604" t="s">
        <v>61</v>
      </c>
      <c r="N604" t="s">
        <v>24</v>
      </c>
      <c r="O604" t="s">
        <v>84</v>
      </c>
      <c r="P604">
        <v>30</v>
      </c>
    </row>
    <row r="605" spans="1:16" x14ac:dyDescent="0.3">
      <c r="A605" t="s">
        <v>1731</v>
      </c>
      <c r="B605" t="s">
        <v>1732</v>
      </c>
      <c r="C605" t="str">
        <f t="shared" si="18"/>
        <v>February</v>
      </c>
      <c r="D605">
        <f t="shared" si="19"/>
        <v>2025</v>
      </c>
      <c r="E605" t="s">
        <v>1233</v>
      </c>
      <c r="F605" t="s">
        <v>1002</v>
      </c>
      <c r="G605" t="s">
        <v>46</v>
      </c>
      <c r="H605" t="s">
        <v>38</v>
      </c>
      <c r="I605" t="s">
        <v>60</v>
      </c>
      <c r="J605">
        <v>1282</v>
      </c>
      <c r="K605">
        <v>1</v>
      </c>
      <c r="L605">
        <v>1282</v>
      </c>
      <c r="M605" t="s">
        <v>54</v>
      </c>
      <c r="N605" t="s">
        <v>24</v>
      </c>
      <c r="O605" t="s">
        <v>78</v>
      </c>
      <c r="P605">
        <v>24</v>
      </c>
    </row>
    <row r="606" spans="1:16" x14ac:dyDescent="0.3">
      <c r="A606" t="s">
        <v>1733</v>
      </c>
      <c r="B606" t="s">
        <v>1415</v>
      </c>
      <c r="C606" t="str">
        <f t="shared" si="18"/>
        <v>February</v>
      </c>
      <c r="D606">
        <f t="shared" si="19"/>
        <v>2024</v>
      </c>
      <c r="E606" t="s">
        <v>1734</v>
      </c>
      <c r="F606" t="s">
        <v>812</v>
      </c>
      <c r="G606" t="s">
        <v>46</v>
      </c>
      <c r="H606" t="s">
        <v>38</v>
      </c>
      <c r="I606" t="s">
        <v>47</v>
      </c>
      <c r="J606">
        <v>1448</v>
      </c>
      <c r="K606">
        <v>5</v>
      </c>
      <c r="L606">
        <v>7240</v>
      </c>
      <c r="M606" t="s">
        <v>61</v>
      </c>
      <c r="N606" t="s">
        <v>31</v>
      </c>
      <c r="O606" t="s">
        <v>32</v>
      </c>
      <c r="P606">
        <v>12</v>
      </c>
    </row>
    <row r="607" spans="1:16" x14ac:dyDescent="0.3">
      <c r="A607" t="s">
        <v>1735</v>
      </c>
      <c r="B607" t="s">
        <v>714</v>
      </c>
      <c r="C607" t="str">
        <f t="shared" si="18"/>
        <v>July</v>
      </c>
      <c r="D607">
        <f t="shared" si="19"/>
        <v>2024</v>
      </c>
      <c r="E607" t="s">
        <v>1736</v>
      </c>
      <c r="F607" t="s">
        <v>1707</v>
      </c>
      <c r="G607" t="s">
        <v>46</v>
      </c>
      <c r="H607" t="s">
        <v>71</v>
      </c>
      <c r="I607" t="s">
        <v>119</v>
      </c>
      <c r="J607">
        <v>411</v>
      </c>
      <c r="K607">
        <v>5</v>
      </c>
      <c r="L607">
        <v>2055</v>
      </c>
      <c r="M607" t="s">
        <v>61</v>
      </c>
      <c r="N607" t="s">
        <v>31</v>
      </c>
      <c r="O607" t="s">
        <v>55</v>
      </c>
      <c r="P607">
        <v>19</v>
      </c>
    </row>
    <row r="608" spans="1:16" x14ac:dyDescent="0.3">
      <c r="A608" t="s">
        <v>1737</v>
      </c>
      <c r="B608" t="s">
        <v>672</v>
      </c>
      <c r="C608" t="str">
        <f t="shared" si="18"/>
        <v>December</v>
      </c>
      <c r="D608">
        <f t="shared" si="19"/>
        <v>2024</v>
      </c>
      <c r="E608" t="s">
        <v>1738</v>
      </c>
      <c r="F608" t="s">
        <v>582</v>
      </c>
      <c r="G608" t="s">
        <v>20</v>
      </c>
      <c r="H608" t="s">
        <v>21</v>
      </c>
      <c r="I608" t="s">
        <v>53</v>
      </c>
      <c r="J608">
        <v>560</v>
      </c>
      <c r="K608">
        <v>3</v>
      </c>
      <c r="L608">
        <v>1680</v>
      </c>
      <c r="M608" t="s">
        <v>61</v>
      </c>
      <c r="N608" t="s">
        <v>24</v>
      </c>
      <c r="O608" t="s">
        <v>84</v>
      </c>
      <c r="P608">
        <v>11</v>
      </c>
    </row>
    <row r="609" spans="1:16" x14ac:dyDescent="0.3">
      <c r="A609" t="s">
        <v>1739</v>
      </c>
      <c r="B609" t="s">
        <v>1740</v>
      </c>
      <c r="C609" t="str">
        <f t="shared" si="18"/>
        <v>July</v>
      </c>
      <c r="D609">
        <f t="shared" si="19"/>
        <v>2024</v>
      </c>
      <c r="E609" t="s">
        <v>1741</v>
      </c>
      <c r="F609" t="s">
        <v>736</v>
      </c>
      <c r="G609" t="s">
        <v>37</v>
      </c>
      <c r="H609" t="s">
        <v>21</v>
      </c>
      <c r="I609" t="s">
        <v>109</v>
      </c>
      <c r="J609">
        <v>401</v>
      </c>
      <c r="K609">
        <v>1</v>
      </c>
      <c r="L609">
        <v>401</v>
      </c>
      <c r="M609" t="s">
        <v>30</v>
      </c>
      <c r="N609" t="s">
        <v>40</v>
      </c>
      <c r="O609" t="s">
        <v>125</v>
      </c>
      <c r="P609">
        <v>2</v>
      </c>
    </row>
    <row r="610" spans="1:16" x14ac:dyDescent="0.3">
      <c r="A610" t="s">
        <v>1742</v>
      </c>
      <c r="B610" t="s">
        <v>1743</v>
      </c>
      <c r="C610" t="str">
        <f t="shared" si="18"/>
        <v>December</v>
      </c>
      <c r="D610">
        <f t="shared" si="19"/>
        <v>2024</v>
      </c>
      <c r="E610" t="s">
        <v>1744</v>
      </c>
      <c r="F610" t="s">
        <v>70</v>
      </c>
      <c r="G610" t="s">
        <v>20</v>
      </c>
      <c r="H610" t="s">
        <v>71</v>
      </c>
      <c r="I610" t="s">
        <v>119</v>
      </c>
      <c r="J610">
        <v>478</v>
      </c>
      <c r="K610">
        <v>3</v>
      </c>
      <c r="L610">
        <v>1434</v>
      </c>
      <c r="M610" t="s">
        <v>61</v>
      </c>
      <c r="N610" t="s">
        <v>40</v>
      </c>
      <c r="O610" t="s">
        <v>84</v>
      </c>
      <c r="P610">
        <v>25</v>
      </c>
    </row>
    <row r="611" spans="1:16" x14ac:dyDescent="0.3">
      <c r="A611" t="s">
        <v>1745</v>
      </c>
      <c r="B611" t="s">
        <v>1746</v>
      </c>
      <c r="C611" t="str">
        <f t="shared" si="18"/>
        <v>April</v>
      </c>
      <c r="D611">
        <f t="shared" si="19"/>
        <v>2025</v>
      </c>
      <c r="E611" t="s">
        <v>916</v>
      </c>
      <c r="F611" t="s">
        <v>1514</v>
      </c>
      <c r="G611" t="s">
        <v>46</v>
      </c>
      <c r="H611" t="s">
        <v>21</v>
      </c>
      <c r="I611" t="s">
        <v>77</v>
      </c>
      <c r="J611">
        <v>1247</v>
      </c>
      <c r="K611">
        <v>3</v>
      </c>
      <c r="L611">
        <v>3741</v>
      </c>
      <c r="M611" t="s">
        <v>54</v>
      </c>
      <c r="N611" t="s">
        <v>48</v>
      </c>
      <c r="O611" t="s">
        <v>84</v>
      </c>
      <c r="P611">
        <v>26</v>
      </c>
    </row>
    <row r="612" spans="1:16" x14ac:dyDescent="0.3">
      <c r="A612" t="s">
        <v>1747</v>
      </c>
      <c r="B612" t="s">
        <v>690</v>
      </c>
      <c r="C612" t="str">
        <f t="shared" si="18"/>
        <v>December</v>
      </c>
      <c r="D612">
        <f t="shared" si="19"/>
        <v>2024</v>
      </c>
      <c r="E612" t="s">
        <v>1748</v>
      </c>
      <c r="F612" t="s">
        <v>726</v>
      </c>
      <c r="G612" t="s">
        <v>20</v>
      </c>
      <c r="H612" t="s">
        <v>21</v>
      </c>
      <c r="I612" t="s">
        <v>77</v>
      </c>
      <c r="J612">
        <v>1197</v>
      </c>
      <c r="K612">
        <v>5</v>
      </c>
      <c r="L612">
        <v>5985</v>
      </c>
      <c r="M612" t="s">
        <v>30</v>
      </c>
      <c r="N612" t="s">
        <v>24</v>
      </c>
      <c r="O612" t="s">
        <v>84</v>
      </c>
      <c r="P612">
        <v>21</v>
      </c>
    </row>
    <row r="613" spans="1:16" x14ac:dyDescent="0.3">
      <c r="A613" t="s">
        <v>1749</v>
      </c>
      <c r="B613" t="s">
        <v>1323</v>
      </c>
      <c r="C613" t="str">
        <f t="shared" si="18"/>
        <v>June</v>
      </c>
      <c r="D613">
        <f t="shared" si="19"/>
        <v>2024</v>
      </c>
      <c r="E613" t="s">
        <v>1418</v>
      </c>
      <c r="F613" t="s">
        <v>369</v>
      </c>
      <c r="G613" t="s">
        <v>37</v>
      </c>
      <c r="H613" t="s">
        <v>38</v>
      </c>
      <c r="I613" t="s">
        <v>325</v>
      </c>
      <c r="J613">
        <v>674</v>
      </c>
      <c r="K613">
        <v>2</v>
      </c>
      <c r="L613">
        <v>1348</v>
      </c>
      <c r="M613" t="s">
        <v>138</v>
      </c>
      <c r="N613" t="s">
        <v>24</v>
      </c>
      <c r="O613" t="s">
        <v>41</v>
      </c>
      <c r="P613">
        <v>5</v>
      </c>
    </row>
    <row r="614" spans="1:16" x14ac:dyDescent="0.3">
      <c r="A614" t="s">
        <v>1750</v>
      </c>
      <c r="B614" t="s">
        <v>1751</v>
      </c>
      <c r="C614" t="str">
        <f t="shared" si="18"/>
        <v>December</v>
      </c>
      <c r="D614">
        <f t="shared" si="19"/>
        <v>2024</v>
      </c>
      <c r="E614" t="s">
        <v>1138</v>
      </c>
      <c r="F614" t="s">
        <v>1752</v>
      </c>
      <c r="G614" t="s">
        <v>37</v>
      </c>
      <c r="H614" t="s">
        <v>21</v>
      </c>
      <c r="I614" t="s">
        <v>77</v>
      </c>
      <c r="J614">
        <v>1395</v>
      </c>
      <c r="K614">
        <v>3</v>
      </c>
      <c r="L614">
        <v>4185</v>
      </c>
      <c r="M614" t="s">
        <v>138</v>
      </c>
      <c r="N614" t="s">
        <v>40</v>
      </c>
      <c r="O614" t="s">
        <v>32</v>
      </c>
      <c r="P614">
        <v>2</v>
      </c>
    </row>
    <row r="615" spans="1:16" x14ac:dyDescent="0.3">
      <c r="A615" t="s">
        <v>1753</v>
      </c>
      <c r="B615" t="s">
        <v>1754</v>
      </c>
      <c r="C615" t="str">
        <f t="shared" si="18"/>
        <v>June</v>
      </c>
      <c r="D615">
        <f t="shared" si="19"/>
        <v>2025</v>
      </c>
      <c r="E615" t="s">
        <v>532</v>
      </c>
      <c r="F615" t="s">
        <v>946</v>
      </c>
      <c r="G615" t="s">
        <v>20</v>
      </c>
      <c r="H615" t="s">
        <v>71</v>
      </c>
      <c r="I615" t="s">
        <v>83</v>
      </c>
      <c r="J615">
        <v>1061</v>
      </c>
      <c r="K615">
        <v>2</v>
      </c>
      <c r="L615">
        <v>2122</v>
      </c>
      <c r="M615" t="s">
        <v>30</v>
      </c>
      <c r="N615" t="s">
        <v>24</v>
      </c>
      <c r="O615" t="s">
        <v>41</v>
      </c>
      <c r="P615">
        <v>10</v>
      </c>
    </row>
    <row r="616" spans="1:16" x14ac:dyDescent="0.3">
      <c r="A616" t="s">
        <v>1755</v>
      </c>
      <c r="B616" t="s">
        <v>1345</v>
      </c>
      <c r="C616" t="str">
        <f t="shared" si="18"/>
        <v>April</v>
      </c>
      <c r="D616">
        <f t="shared" si="19"/>
        <v>2024</v>
      </c>
      <c r="E616" t="s">
        <v>1756</v>
      </c>
      <c r="F616" t="s">
        <v>1757</v>
      </c>
      <c r="G616" t="s">
        <v>20</v>
      </c>
      <c r="H616" t="s">
        <v>71</v>
      </c>
      <c r="I616" t="s">
        <v>119</v>
      </c>
      <c r="J616">
        <v>1466</v>
      </c>
      <c r="K616">
        <v>3</v>
      </c>
      <c r="L616">
        <v>4398</v>
      </c>
      <c r="M616" t="s">
        <v>30</v>
      </c>
      <c r="N616" t="s">
        <v>40</v>
      </c>
      <c r="O616" t="s">
        <v>125</v>
      </c>
      <c r="P616">
        <v>25</v>
      </c>
    </row>
    <row r="617" spans="1:16" x14ac:dyDescent="0.3">
      <c r="A617" t="s">
        <v>1758</v>
      </c>
      <c r="B617" t="s">
        <v>1759</v>
      </c>
      <c r="C617" t="str">
        <f t="shared" si="18"/>
        <v>April</v>
      </c>
      <c r="D617">
        <f t="shared" si="19"/>
        <v>2024</v>
      </c>
      <c r="E617" t="s">
        <v>660</v>
      </c>
      <c r="F617" t="s">
        <v>1760</v>
      </c>
      <c r="G617" t="s">
        <v>46</v>
      </c>
      <c r="H617" t="s">
        <v>71</v>
      </c>
      <c r="I617" t="s">
        <v>119</v>
      </c>
      <c r="J617">
        <v>591</v>
      </c>
      <c r="K617">
        <v>3</v>
      </c>
      <c r="L617">
        <v>1773</v>
      </c>
      <c r="M617" t="s">
        <v>23</v>
      </c>
      <c r="N617" t="s">
        <v>24</v>
      </c>
      <c r="O617" t="s">
        <v>84</v>
      </c>
      <c r="P617">
        <v>6</v>
      </c>
    </row>
    <row r="618" spans="1:16" x14ac:dyDescent="0.3">
      <c r="A618" t="s">
        <v>1761</v>
      </c>
      <c r="B618" t="s">
        <v>1694</v>
      </c>
      <c r="C618" t="str">
        <f t="shared" si="18"/>
        <v>January</v>
      </c>
      <c r="D618">
        <f t="shared" si="19"/>
        <v>2025</v>
      </c>
      <c r="E618" t="s">
        <v>718</v>
      </c>
      <c r="F618" t="s">
        <v>52</v>
      </c>
      <c r="G618" t="s">
        <v>37</v>
      </c>
      <c r="H618" t="s">
        <v>38</v>
      </c>
      <c r="I618" t="s">
        <v>130</v>
      </c>
      <c r="J618">
        <v>266</v>
      </c>
      <c r="K618">
        <v>2</v>
      </c>
      <c r="L618">
        <v>532</v>
      </c>
      <c r="M618" t="s">
        <v>61</v>
      </c>
      <c r="N618" t="s">
        <v>48</v>
      </c>
      <c r="O618" t="s">
        <v>25</v>
      </c>
      <c r="P618">
        <v>2</v>
      </c>
    </row>
    <row r="619" spans="1:16" x14ac:dyDescent="0.3">
      <c r="A619" t="s">
        <v>1762</v>
      </c>
      <c r="B619" t="s">
        <v>1763</v>
      </c>
      <c r="C619" t="str">
        <f t="shared" si="18"/>
        <v>September</v>
      </c>
      <c r="D619">
        <f t="shared" si="19"/>
        <v>2024</v>
      </c>
      <c r="E619" t="s">
        <v>262</v>
      </c>
      <c r="F619" t="s">
        <v>995</v>
      </c>
      <c r="G619" t="s">
        <v>37</v>
      </c>
      <c r="H619" t="s">
        <v>38</v>
      </c>
      <c r="I619" t="s">
        <v>47</v>
      </c>
      <c r="J619">
        <v>1327</v>
      </c>
      <c r="K619">
        <v>5</v>
      </c>
      <c r="L619">
        <v>6635</v>
      </c>
      <c r="M619" t="s">
        <v>54</v>
      </c>
      <c r="N619" t="s">
        <v>24</v>
      </c>
      <c r="O619" t="s">
        <v>84</v>
      </c>
      <c r="P619">
        <v>0</v>
      </c>
    </row>
    <row r="620" spans="1:16" x14ac:dyDescent="0.3">
      <c r="A620" t="s">
        <v>1764</v>
      </c>
      <c r="B620" t="s">
        <v>1581</v>
      </c>
      <c r="C620" t="str">
        <f t="shared" si="18"/>
        <v>January</v>
      </c>
      <c r="D620">
        <f t="shared" si="19"/>
        <v>2025</v>
      </c>
      <c r="E620" t="s">
        <v>899</v>
      </c>
      <c r="F620" t="s">
        <v>226</v>
      </c>
      <c r="G620" t="s">
        <v>37</v>
      </c>
      <c r="H620" t="s">
        <v>21</v>
      </c>
      <c r="I620" t="s">
        <v>109</v>
      </c>
      <c r="J620">
        <v>1494</v>
      </c>
      <c r="K620">
        <v>5</v>
      </c>
      <c r="L620">
        <v>7470</v>
      </c>
      <c r="M620" t="s">
        <v>23</v>
      </c>
      <c r="N620" t="s">
        <v>40</v>
      </c>
      <c r="O620" t="s">
        <v>55</v>
      </c>
      <c r="P620">
        <v>8</v>
      </c>
    </row>
    <row r="621" spans="1:16" x14ac:dyDescent="0.3">
      <c r="A621" t="s">
        <v>1765</v>
      </c>
      <c r="B621" t="s">
        <v>419</v>
      </c>
      <c r="C621" t="str">
        <f t="shared" si="18"/>
        <v>April</v>
      </c>
      <c r="D621">
        <f t="shared" si="19"/>
        <v>2025</v>
      </c>
      <c r="E621" t="s">
        <v>1766</v>
      </c>
      <c r="F621" t="s">
        <v>619</v>
      </c>
      <c r="G621" t="s">
        <v>20</v>
      </c>
      <c r="H621" t="s">
        <v>71</v>
      </c>
      <c r="I621" t="s">
        <v>124</v>
      </c>
      <c r="J621">
        <v>1321</v>
      </c>
      <c r="K621">
        <v>3</v>
      </c>
      <c r="L621">
        <v>3963</v>
      </c>
      <c r="M621" t="s">
        <v>30</v>
      </c>
      <c r="N621" t="s">
        <v>40</v>
      </c>
      <c r="O621" t="s">
        <v>84</v>
      </c>
      <c r="P621">
        <v>23</v>
      </c>
    </row>
    <row r="622" spans="1:16" x14ac:dyDescent="0.3">
      <c r="A622" t="s">
        <v>1767</v>
      </c>
      <c r="B622" t="s">
        <v>1123</v>
      </c>
      <c r="C622" t="str">
        <f t="shared" si="18"/>
        <v>February</v>
      </c>
      <c r="D622">
        <f t="shared" si="19"/>
        <v>2024</v>
      </c>
      <c r="E622" t="s">
        <v>1768</v>
      </c>
      <c r="F622" t="s">
        <v>1288</v>
      </c>
      <c r="G622" t="s">
        <v>37</v>
      </c>
      <c r="H622" t="s">
        <v>71</v>
      </c>
      <c r="I622" t="s">
        <v>124</v>
      </c>
      <c r="J622">
        <v>362</v>
      </c>
      <c r="K622">
        <v>3</v>
      </c>
      <c r="L622">
        <v>1086</v>
      </c>
      <c r="M622" t="s">
        <v>54</v>
      </c>
      <c r="N622" t="s">
        <v>24</v>
      </c>
      <c r="O622" t="s">
        <v>55</v>
      </c>
      <c r="P622">
        <v>1</v>
      </c>
    </row>
    <row r="623" spans="1:16" x14ac:dyDescent="0.3">
      <c r="A623" t="s">
        <v>1769</v>
      </c>
      <c r="B623" t="s">
        <v>1770</v>
      </c>
      <c r="C623" t="str">
        <f t="shared" si="18"/>
        <v>January</v>
      </c>
      <c r="D623">
        <f t="shared" si="19"/>
        <v>2025</v>
      </c>
      <c r="E623" t="s">
        <v>868</v>
      </c>
      <c r="F623" t="s">
        <v>399</v>
      </c>
      <c r="G623" t="s">
        <v>46</v>
      </c>
      <c r="H623" t="s">
        <v>38</v>
      </c>
      <c r="I623" t="s">
        <v>325</v>
      </c>
      <c r="J623">
        <v>1296</v>
      </c>
      <c r="K623">
        <v>1</v>
      </c>
      <c r="L623">
        <v>1296</v>
      </c>
      <c r="M623" t="s">
        <v>61</v>
      </c>
      <c r="N623" t="s">
        <v>31</v>
      </c>
      <c r="O623" t="s">
        <v>25</v>
      </c>
      <c r="P623">
        <v>22</v>
      </c>
    </row>
    <row r="624" spans="1:16" x14ac:dyDescent="0.3">
      <c r="A624" t="s">
        <v>1771</v>
      </c>
      <c r="B624" t="s">
        <v>1573</v>
      </c>
      <c r="C624" t="str">
        <f t="shared" si="18"/>
        <v>June</v>
      </c>
      <c r="D624">
        <f t="shared" si="19"/>
        <v>2025</v>
      </c>
      <c r="E624" t="s">
        <v>1772</v>
      </c>
      <c r="F624" t="s">
        <v>510</v>
      </c>
      <c r="G624" t="s">
        <v>46</v>
      </c>
      <c r="H624" t="s">
        <v>38</v>
      </c>
      <c r="I624" t="s">
        <v>39</v>
      </c>
      <c r="J624">
        <v>380</v>
      </c>
      <c r="K624">
        <v>2</v>
      </c>
      <c r="L624">
        <v>760</v>
      </c>
      <c r="M624" t="s">
        <v>30</v>
      </c>
      <c r="N624" t="s">
        <v>31</v>
      </c>
      <c r="O624" t="s">
        <v>84</v>
      </c>
      <c r="P624">
        <v>23</v>
      </c>
    </row>
    <row r="625" spans="1:16" x14ac:dyDescent="0.3">
      <c r="A625" t="s">
        <v>1773</v>
      </c>
      <c r="B625" t="s">
        <v>1697</v>
      </c>
      <c r="C625" t="str">
        <f t="shared" si="18"/>
        <v>May</v>
      </c>
      <c r="D625">
        <f t="shared" si="19"/>
        <v>2025</v>
      </c>
      <c r="E625" t="s">
        <v>1774</v>
      </c>
      <c r="F625" t="s">
        <v>222</v>
      </c>
      <c r="G625" t="s">
        <v>46</v>
      </c>
      <c r="H625" t="s">
        <v>38</v>
      </c>
      <c r="I625" t="s">
        <v>47</v>
      </c>
      <c r="J625">
        <v>986</v>
      </c>
      <c r="K625">
        <v>2</v>
      </c>
      <c r="L625">
        <v>1972</v>
      </c>
      <c r="M625" t="s">
        <v>138</v>
      </c>
      <c r="N625" t="s">
        <v>31</v>
      </c>
      <c r="O625" t="s">
        <v>25</v>
      </c>
      <c r="P625">
        <v>12</v>
      </c>
    </row>
    <row r="626" spans="1:16" x14ac:dyDescent="0.3">
      <c r="A626" t="s">
        <v>1775</v>
      </c>
      <c r="B626" t="s">
        <v>766</v>
      </c>
      <c r="C626" t="str">
        <f t="shared" si="18"/>
        <v>October</v>
      </c>
      <c r="D626">
        <f t="shared" si="19"/>
        <v>2024</v>
      </c>
      <c r="E626" t="s">
        <v>1776</v>
      </c>
      <c r="F626" t="s">
        <v>1025</v>
      </c>
      <c r="G626" t="s">
        <v>46</v>
      </c>
      <c r="H626" t="s">
        <v>21</v>
      </c>
      <c r="I626" t="s">
        <v>22</v>
      </c>
      <c r="J626">
        <v>703</v>
      </c>
      <c r="K626">
        <v>3</v>
      </c>
      <c r="L626">
        <v>2109</v>
      </c>
      <c r="M626" t="s">
        <v>61</v>
      </c>
      <c r="N626" t="s">
        <v>24</v>
      </c>
      <c r="O626" t="s">
        <v>55</v>
      </c>
      <c r="P626">
        <v>15</v>
      </c>
    </row>
    <row r="627" spans="1:16" x14ac:dyDescent="0.3">
      <c r="A627" t="s">
        <v>1777</v>
      </c>
      <c r="B627" t="s">
        <v>1778</v>
      </c>
      <c r="C627" t="str">
        <f t="shared" si="18"/>
        <v>July</v>
      </c>
      <c r="D627">
        <f t="shared" si="19"/>
        <v>2025</v>
      </c>
      <c r="E627" t="s">
        <v>1779</v>
      </c>
      <c r="F627" t="s">
        <v>449</v>
      </c>
      <c r="G627" t="s">
        <v>37</v>
      </c>
      <c r="H627" t="s">
        <v>71</v>
      </c>
      <c r="I627" t="s">
        <v>119</v>
      </c>
      <c r="J627">
        <v>475</v>
      </c>
      <c r="K627">
        <v>4</v>
      </c>
      <c r="L627">
        <v>1900</v>
      </c>
      <c r="M627" t="s">
        <v>138</v>
      </c>
      <c r="N627" t="s">
        <v>48</v>
      </c>
      <c r="O627" t="s">
        <v>125</v>
      </c>
      <c r="P627">
        <v>28</v>
      </c>
    </row>
    <row r="628" spans="1:16" x14ac:dyDescent="0.3">
      <c r="A628" t="s">
        <v>1780</v>
      </c>
      <c r="B628" t="s">
        <v>1781</v>
      </c>
      <c r="C628" t="str">
        <f t="shared" si="18"/>
        <v>March</v>
      </c>
      <c r="D628">
        <f t="shared" si="19"/>
        <v>2025</v>
      </c>
      <c r="E628" t="s">
        <v>420</v>
      </c>
      <c r="F628" t="s">
        <v>558</v>
      </c>
      <c r="G628" t="s">
        <v>37</v>
      </c>
      <c r="H628" t="s">
        <v>71</v>
      </c>
      <c r="I628" t="s">
        <v>83</v>
      </c>
      <c r="J628">
        <v>616</v>
      </c>
      <c r="K628">
        <v>5</v>
      </c>
      <c r="L628">
        <v>3080</v>
      </c>
      <c r="M628" t="s">
        <v>61</v>
      </c>
      <c r="N628" t="s">
        <v>24</v>
      </c>
      <c r="O628" t="s">
        <v>41</v>
      </c>
      <c r="P628">
        <v>22</v>
      </c>
    </row>
    <row r="629" spans="1:16" x14ac:dyDescent="0.3">
      <c r="A629" t="s">
        <v>1782</v>
      </c>
      <c r="B629" t="s">
        <v>1388</v>
      </c>
      <c r="C629" t="str">
        <f t="shared" si="18"/>
        <v>March</v>
      </c>
      <c r="D629">
        <f t="shared" si="19"/>
        <v>2025</v>
      </c>
      <c r="E629" t="s">
        <v>926</v>
      </c>
      <c r="F629" t="s">
        <v>862</v>
      </c>
      <c r="G629" t="s">
        <v>20</v>
      </c>
      <c r="H629" t="s">
        <v>38</v>
      </c>
      <c r="I629" t="s">
        <v>130</v>
      </c>
      <c r="J629">
        <v>543</v>
      </c>
      <c r="K629">
        <v>2</v>
      </c>
      <c r="L629">
        <v>1086</v>
      </c>
      <c r="M629" t="s">
        <v>30</v>
      </c>
      <c r="N629" t="s">
        <v>31</v>
      </c>
      <c r="O629" t="s">
        <v>32</v>
      </c>
      <c r="P629">
        <v>19</v>
      </c>
    </row>
    <row r="630" spans="1:16" x14ac:dyDescent="0.3">
      <c r="A630" t="s">
        <v>1783</v>
      </c>
      <c r="B630" t="s">
        <v>1456</v>
      </c>
      <c r="C630" t="str">
        <f t="shared" si="18"/>
        <v>May</v>
      </c>
      <c r="D630">
        <f t="shared" si="19"/>
        <v>2025</v>
      </c>
      <c r="E630" t="s">
        <v>1784</v>
      </c>
      <c r="F630" t="s">
        <v>697</v>
      </c>
      <c r="G630" t="s">
        <v>20</v>
      </c>
      <c r="H630" t="s">
        <v>38</v>
      </c>
      <c r="I630" t="s">
        <v>325</v>
      </c>
      <c r="J630">
        <v>1405</v>
      </c>
      <c r="K630">
        <v>5</v>
      </c>
      <c r="L630">
        <v>7025</v>
      </c>
      <c r="M630" t="s">
        <v>30</v>
      </c>
      <c r="N630" t="s">
        <v>31</v>
      </c>
      <c r="O630" t="s">
        <v>125</v>
      </c>
      <c r="P630">
        <v>13</v>
      </c>
    </row>
    <row r="631" spans="1:16" x14ac:dyDescent="0.3">
      <c r="A631" t="s">
        <v>1785</v>
      </c>
      <c r="B631" t="s">
        <v>1030</v>
      </c>
      <c r="C631" t="str">
        <f t="shared" si="18"/>
        <v>May</v>
      </c>
      <c r="D631">
        <f t="shared" si="19"/>
        <v>2024</v>
      </c>
      <c r="E631" t="s">
        <v>1786</v>
      </c>
      <c r="F631" t="s">
        <v>709</v>
      </c>
      <c r="G631" t="s">
        <v>37</v>
      </c>
      <c r="H631" t="s">
        <v>38</v>
      </c>
      <c r="I631" t="s">
        <v>47</v>
      </c>
      <c r="J631">
        <v>205</v>
      </c>
      <c r="K631">
        <v>2</v>
      </c>
      <c r="L631">
        <v>410</v>
      </c>
      <c r="M631" t="s">
        <v>54</v>
      </c>
      <c r="N631" t="s">
        <v>24</v>
      </c>
      <c r="O631" t="s">
        <v>55</v>
      </c>
      <c r="P631">
        <v>4</v>
      </c>
    </row>
    <row r="632" spans="1:16" x14ac:dyDescent="0.3">
      <c r="A632" t="s">
        <v>1787</v>
      </c>
      <c r="B632" t="s">
        <v>1788</v>
      </c>
      <c r="C632" t="str">
        <f t="shared" si="18"/>
        <v>June</v>
      </c>
      <c r="D632">
        <f t="shared" si="19"/>
        <v>2024</v>
      </c>
      <c r="E632" t="s">
        <v>1725</v>
      </c>
      <c r="F632" t="s">
        <v>486</v>
      </c>
      <c r="G632" t="s">
        <v>46</v>
      </c>
      <c r="H632" t="s">
        <v>38</v>
      </c>
      <c r="I632" t="s">
        <v>60</v>
      </c>
      <c r="J632">
        <v>1280</v>
      </c>
      <c r="K632">
        <v>1</v>
      </c>
      <c r="L632">
        <v>1280</v>
      </c>
      <c r="M632" t="s">
        <v>23</v>
      </c>
      <c r="N632" t="s">
        <v>40</v>
      </c>
      <c r="O632" t="s">
        <v>84</v>
      </c>
      <c r="P632">
        <v>14</v>
      </c>
    </row>
    <row r="633" spans="1:16" x14ac:dyDescent="0.3">
      <c r="A633" t="s">
        <v>1789</v>
      </c>
      <c r="B633" t="s">
        <v>419</v>
      </c>
      <c r="C633" t="str">
        <f t="shared" si="18"/>
        <v>April</v>
      </c>
      <c r="D633">
        <f t="shared" si="19"/>
        <v>2025</v>
      </c>
      <c r="E633" t="s">
        <v>1790</v>
      </c>
      <c r="F633" t="s">
        <v>298</v>
      </c>
      <c r="G633" t="s">
        <v>20</v>
      </c>
      <c r="H633" t="s">
        <v>21</v>
      </c>
      <c r="I633" t="s">
        <v>77</v>
      </c>
      <c r="J633">
        <v>736</v>
      </c>
      <c r="K633">
        <v>1</v>
      </c>
      <c r="L633">
        <v>736</v>
      </c>
      <c r="M633" t="s">
        <v>61</v>
      </c>
      <c r="N633" t="s">
        <v>31</v>
      </c>
      <c r="O633" t="s">
        <v>125</v>
      </c>
      <c r="P633">
        <v>22</v>
      </c>
    </row>
    <row r="634" spans="1:16" x14ac:dyDescent="0.3">
      <c r="A634" t="s">
        <v>1791</v>
      </c>
      <c r="B634" t="s">
        <v>1095</v>
      </c>
      <c r="C634" t="str">
        <f t="shared" si="18"/>
        <v>May</v>
      </c>
      <c r="D634">
        <f t="shared" si="19"/>
        <v>2025</v>
      </c>
      <c r="E634" t="s">
        <v>1285</v>
      </c>
      <c r="F634" t="s">
        <v>388</v>
      </c>
      <c r="G634" t="s">
        <v>37</v>
      </c>
      <c r="H634" t="s">
        <v>38</v>
      </c>
      <c r="I634" t="s">
        <v>47</v>
      </c>
      <c r="J634">
        <v>384</v>
      </c>
      <c r="K634">
        <v>1</v>
      </c>
      <c r="L634">
        <v>384</v>
      </c>
      <c r="M634" t="s">
        <v>138</v>
      </c>
      <c r="N634" t="s">
        <v>40</v>
      </c>
      <c r="O634" t="s">
        <v>55</v>
      </c>
      <c r="P634">
        <v>25</v>
      </c>
    </row>
    <row r="635" spans="1:16" x14ac:dyDescent="0.3">
      <c r="A635" t="s">
        <v>1792</v>
      </c>
      <c r="B635" t="s">
        <v>1240</v>
      </c>
      <c r="C635" t="str">
        <f t="shared" si="18"/>
        <v>June</v>
      </c>
      <c r="D635">
        <f t="shared" si="19"/>
        <v>2024</v>
      </c>
      <c r="E635" t="s">
        <v>751</v>
      </c>
      <c r="F635" t="s">
        <v>752</v>
      </c>
      <c r="G635" t="s">
        <v>37</v>
      </c>
      <c r="H635" t="s">
        <v>71</v>
      </c>
      <c r="I635" t="s">
        <v>72</v>
      </c>
      <c r="J635">
        <v>1136</v>
      </c>
      <c r="K635">
        <v>4</v>
      </c>
      <c r="L635">
        <v>4544</v>
      </c>
      <c r="M635" t="s">
        <v>30</v>
      </c>
      <c r="N635" t="s">
        <v>24</v>
      </c>
      <c r="O635" t="s">
        <v>32</v>
      </c>
      <c r="P635">
        <v>25</v>
      </c>
    </row>
    <row r="636" spans="1:16" x14ac:dyDescent="0.3">
      <c r="A636" t="s">
        <v>1793</v>
      </c>
      <c r="B636" t="s">
        <v>1240</v>
      </c>
      <c r="C636" t="str">
        <f t="shared" si="18"/>
        <v>June</v>
      </c>
      <c r="D636">
        <f t="shared" si="19"/>
        <v>2024</v>
      </c>
      <c r="E636" t="s">
        <v>1243</v>
      </c>
      <c r="F636" t="s">
        <v>872</v>
      </c>
      <c r="G636" t="s">
        <v>46</v>
      </c>
      <c r="H636" t="s">
        <v>71</v>
      </c>
      <c r="I636" t="s">
        <v>119</v>
      </c>
      <c r="J636">
        <v>729</v>
      </c>
      <c r="K636">
        <v>4</v>
      </c>
      <c r="L636">
        <v>2916</v>
      </c>
      <c r="M636" t="s">
        <v>138</v>
      </c>
      <c r="N636" t="s">
        <v>40</v>
      </c>
      <c r="O636" t="s">
        <v>78</v>
      </c>
      <c r="P636">
        <v>0</v>
      </c>
    </row>
    <row r="637" spans="1:16" x14ac:dyDescent="0.3">
      <c r="A637" t="s">
        <v>1794</v>
      </c>
      <c r="B637" t="s">
        <v>1795</v>
      </c>
      <c r="C637" t="str">
        <f t="shared" si="18"/>
        <v>November</v>
      </c>
      <c r="D637">
        <f t="shared" si="19"/>
        <v>2024</v>
      </c>
      <c r="E637" t="s">
        <v>1692</v>
      </c>
      <c r="F637" t="s">
        <v>1752</v>
      </c>
      <c r="G637" t="s">
        <v>37</v>
      </c>
      <c r="H637" t="s">
        <v>38</v>
      </c>
      <c r="I637" t="s">
        <v>325</v>
      </c>
      <c r="J637">
        <v>456</v>
      </c>
      <c r="K637">
        <v>3</v>
      </c>
      <c r="L637">
        <v>1368</v>
      </c>
      <c r="M637" t="s">
        <v>30</v>
      </c>
      <c r="N637" t="s">
        <v>31</v>
      </c>
      <c r="O637" t="s">
        <v>41</v>
      </c>
      <c r="P637">
        <v>26</v>
      </c>
    </row>
    <row r="638" spans="1:16" x14ac:dyDescent="0.3">
      <c r="A638" t="s">
        <v>1796</v>
      </c>
      <c r="B638" t="s">
        <v>1452</v>
      </c>
      <c r="C638" t="str">
        <f t="shared" si="18"/>
        <v>December</v>
      </c>
      <c r="D638">
        <f t="shared" si="19"/>
        <v>2024</v>
      </c>
      <c r="E638" t="s">
        <v>438</v>
      </c>
      <c r="F638" t="s">
        <v>313</v>
      </c>
      <c r="G638" t="s">
        <v>46</v>
      </c>
      <c r="H638" t="s">
        <v>21</v>
      </c>
      <c r="I638" t="s">
        <v>109</v>
      </c>
      <c r="J638">
        <v>830</v>
      </c>
      <c r="K638">
        <v>3</v>
      </c>
      <c r="L638">
        <v>2490</v>
      </c>
      <c r="M638" t="s">
        <v>30</v>
      </c>
      <c r="N638" t="s">
        <v>40</v>
      </c>
      <c r="O638" t="s">
        <v>41</v>
      </c>
      <c r="P638">
        <v>8</v>
      </c>
    </row>
    <row r="639" spans="1:16" x14ac:dyDescent="0.3">
      <c r="A639" t="s">
        <v>1797</v>
      </c>
      <c r="B639" t="s">
        <v>1585</v>
      </c>
      <c r="C639" t="str">
        <f t="shared" si="18"/>
        <v>January</v>
      </c>
      <c r="D639">
        <f t="shared" si="19"/>
        <v>2024</v>
      </c>
      <c r="E639" t="s">
        <v>1798</v>
      </c>
      <c r="F639" t="s">
        <v>1035</v>
      </c>
      <c r="G639" t="s">
        <v>37</v>
      </c>
      <c r="H639" t="s">
        <v>71</v>
      </c>
      <c r="I639" t="s">
        <v>119</v>
      </c>
      <c r="J639">
        <v>667</v>
      </c>
      <c r="K639">
        <v>4</v>
      </c>
      <c r="L639">
        <v>2668</v>
      </c>
      <c r="M639" t="s">
        <v>23</v>
      </c>
      <c r="N639" t="s">
        <v>40</v>
      </c>
      <c r="O639" t="s">
        <v>41</v>
      </c>
      <c r="P639">
        <v>20</v>
      </c>
    </row>
    <row r="640" spans="1:16" x14ac:dyDescent="0.3">
      <c r="A640" t="s">
        <v>1799</v>
      </c>
      <c r="B640" t="s">
        <v>1800</v>
      </c>
      <c r="C640" t="str">
        <f t="shared" si="18"/>
        <v>January</v>
      </c>
      <c r="D640">
        <f t="shared" si="19"/>
        <v>2024</v>
      </c>
      <c r="E640" t="s">
        <v>1065</v>
      </c>
      <c r="F640" t="s">
        <v>594</v>
      </c>
      <c r="G640" t="s">
        <v>20</v>
      </c>
      <c r="H640" t="s">
        <v>38</v>
      </c>
      <c r="I640" t="s">
        <v>47</v>
      </c>
      <c r="J640">
        <v>1406</v>
      </c>
      <c r="K640">
        <v>4</v>
      </c>
      <c r="L640">
        <v>5624</v>
      </c>
      <c r="M640" t="s">
        <v>138</v>
      </c>
      <c r="N640" t="s">
        <v>31</v>
      </c>
      <c r="O640" t="s">
        <v>62</v>
      </c>
      <c r="P640">
        <v>21</v>
      </c>
    </row>
    <row r="641" spans="1:16" x14ac:dyDescent="0.3">
      <c r="A641" t="s">
        <v>1801</v>
      </c>
      <c r="B641" t="s">
        <v>1802</v>
      </c>
      <c r="C641" t="str">
        <f t="shared" si="18"/>
        <v>October</v>
      </c>
      <c r="D641">
        <f t="shared" si="19"/>
        <v>2024</v>
      </c>
      <c r="E641" t="s">
        <v>621</v>
      </c>
      <c r="F641" t="s">
        <v>1803</v>
      </c>
      <c r="G641" t="s">
        <v>46</v>
      </c>
      <c r="H641" t="s">
        <v>38</v>
      </c>
      <c r="I641" t="s">
        <v>130</v>
      </c>
      <c r="J641">
        <v>783</v>
      </c>
      <c r="K641">
        <v>5</v>
      </c>
      <c r="L641">
        <v>3915</v>
      </c>
      <c r="M641" t="s">
        <v>54</v>
      </c>
      <c r="N641" t="s">
        <v>31</v>
      </c>
      <c r="O641" t="s">
        <v>41</v>
      </c>
      <c r="P641">
        <v>28</v>
      </c>
    </row>
    <row r="642" spans="1:16" x14ac:dyDescent="0.3">
      <c r="A642" t="s">
        <v>1804</v>
      </c>
      <c r="B642" t="s">
        <v>1805</v>
      </c>
      <c r="C642" t="str">
        <f t="shared" si="18"/>
        <v>May</v>
      </c>
      <c r="D642">
        <f t="shared" si="19"/>
        <v>2025</v>
      </c>
      <c r="E642" t="s">
        <v>1806</v>
      </c>
      <c r="F642" t="s">
        <v>183</v>
      </c>
      <c r="G642" t="s">
        <v>46</v>
      </c>
      <c r="H642" t="s">
        <v>38</v>
      </c>
      <c r="I642" t="s">
        <v>60</v>
      </c>
      <c r="J642">
        <v>438</v>
      </c>
      <c r="K642">
        <v>2</v>
      </c>
      <c r="L642">
        <v>876</v>
      </c>
      <c r="M642" t="s">
        <v>23</v>
      </c>
      <c r="N642" t="s">
        <v>24</v>
      </c>
      <c r="O642" t="s">
        <v>84</v>
      </c>
      <c r="P642">
        <v>9</v>
      </c>
    </row>
    <row r="643" spans="1:16" x14ac:dyDescent="0.3">
      <c r="A643" t="s">
        <v>1807</v>
      </c>
      <c r="B643" t="s">
        <v>204</v>
      </c>
      <c r="C643" t="str">
        <f t="shared" ref="C643:C701" si="20">TEXT(B643,"MMMM")</f>
        <v>November</v>
      </c>
      <c r="D643">
        <f t="shared" ref="D643:D701" si="21">YEAR(B643)</f>
        <v>2024</v>
      </c>
      <c r="E643" t="s">
        <v>1808</v>
      </c>
      <c r="F643" t="s">
        <v>1160</v>
      </c>
      <c r="G643" t="s">
        <v>37</v>
      </c>
      <c r="H643" t="s">
        <v>38</v>
      </c>
      <c r="I643" t="s">
        <v>325</v>
      </c>
      <c r="J643">
        <v>1279</v>
      </c>
      <c r="K643">
        <v>4</v>
      </c>
      <c r="L643">
        <v>5116</v>
      </c>
      <c r="M643" t="s">
        <v>61</v>
      </c>
      <c r="N643" t="s">
        <v>40</v>
      </c>
      <c r="O643" t="s">
        <v>25</v>
      </c>
      <c r="P643">
        <v>5</v>
      </c>
    </row>
    <row r="644" spans="1:16" x14ac:dyDescent="0.3">
      <c r="A644" t="s">
        <v>1809</v>
      </c>
      <c r="B644" t="s">
        <v>1302</v>
      </c>
      <c r="C644" t="str">
        <f t="shared" si="20"/>
        <v>June</v>
      </c>
      <c r="D644">
        <f t="shared" si="21"/>
        <v>2024</v>
      </c>
      <c r="E644" t="s">
        <v>1156</v>
      </c>
      <c r="F644" t="s">
        <v>510</v>
      </c>
      <c r="G644" t="s">
        <v>46</v>
      </c>
      <c r="H644" t="s">
        <v>71</v>
      </c>
      <c r="I644" t="s">
        <v>83</v>
      </c>
      <c r="J644">
        <v>488</v>
      </c>
      <c r="K644">
        <v>1</v>
      </c>
      <c r="L644">
        <v>488</v>
      </c>
      <c r="M644" t="s">
        <v>54</v>
      </c>
      <c r="N644" t="s">
        <v>48</v>
      </c>
      <c r="O644" t="s">
        <v>78</v>
      </c>
      <c r="P644">
        <v>15</v>
      </c>
    </row>
    <row r="645" spans="1:16" x14ac:dyDescent="0.3">
      <c r="A645" t="s">
        <v>1810</v>
      </c>
      <c r="B645" t="s">
        <v>1811</v>
      </c>
      <c r="C645" t="str">
        <f t="shared" si="20"/>
        <v>February</v>
      </c>
      <c r="D645">
        <f t="shared" si="21"/>
        <v>2024</v>
      </c>
      <c r="E645" t="s">
        <v>1812</v>
      </c>
      <c r="F645" t="s">
        <v>1157</v>
      </c>
      <c r="G645" t="s">
        <v>46</v>
      </c>
      <c r="H645" t="s">
        <v>38</v>
      </c>
      <c r="I645" t="s">
        <v>39</v>
      </c>
      <c r="J645">
        <v>899</v>
      </c>
      <c r="K645">
        <v>4</v>
      </c>
      <c r="L645">
        <v>3596</v>
      </c>
      <c r="M645" t="s">
        <v>54</v>
      </c>
      <c r="N645" t="s">
        <v>24</v>
      </c>
      <c r="O645" t="s">
        <v>32</v>
      </c>
      <c r="P645">
        <v>14</v>
      </c>
    </row>
    <row r="646" spans="1:16" x14ac:dyDescent="0.3">
      <c r="A646" t="s">
        <v>1813</v>
      </c>
      <c r="B646" t="s">
        <v>1179</v>
      </c>
      <c r="C646" t="str">
        <f t="shared" si="20"/>
        <v>January</v>
      </c>
      <c r="D646">
        <f t="shared" si="21"/>
        <v>2025</v>
      </c>
      <c r="E646" t="s">
        <v>1250</v>
      </c>
      <c r="F646" t="s">
        <v>977</v>
      </c>
      <c r="G646" t="s">
        <v>20</v>
      </c>
      <c r="H646" t="s">
        <v>21</v>
      </c>
      <c r="I646" t="s">
        <v>53</v>
      </c>
      <c r="J646">
        <v>545</v>
      </c>
      <c r="K646">
        <v>2</v>
      </c>
      <c r="L646">
        <v>1090</v>
      </c>
      <c r="M646" t="s">
        <v>54</v>
      </c>
      <c r="N646" t="s">
        <v>31</v>
      </c>
      <c r="O646" t="s">
        <v>55</v>
      </c>
      <c r="P646">
        <v>13</v>
      </c>
    </row>
    <row r="647" spans="1:16" x14ac:dyDescent="0.3">
      <c r="A647" t="s">
        <v>1814</v>
      </c>
      <c r="B647" t="s">
        <v>1722</v>
      </c>
      <c r="C647" t="str">
        <f t="shared" si="20"/>
        <v>July</v>
      </c>
      <c r="D647">
        <f t="shared" si="21"/>
        <v>2025</v>
      </c>
      <c r="E647" t="s">
        <v>481</v>
      </c>
      <c r="F647" t="s">
        <v>1356</v>
      </c>
      <c r="G647" t="s">
        <v>46</v>
      </c>
      <c r="H647" t="s">
        <v>38</v>
      </c>
      <c r="I647" t="s">
        <v>47</v>
      </c>
      <c r="J647">
        <v>1044</v>
      </c>
      <c r="K647">
        <v>3</v>
      </c>
      <c r="L647">
        <v>3132</v>
      </c>
      <c r="M647" t="s">
        <v>61</v>
      </c>
      <c r="N647" t="s">
        <v>24</v>
      </c>
      <c r="O647" t="s">
        <v>25</v>
      </c>
      <c r="P647">
        <v>25</v>
      </c>
    </row>
    <row r="648" spans="1:16" x14ac:dyDescent="0.3">
      <c r="A648" t="s">
        <v>1815</v>
      </c>
      <c r="B648" t="s">
        <v>1816</v>
      </c>
      <c r="C648" t="str">
        <f t="shared" si="20"/>
        <v>March</v>
      </c>
      <c r="D648">
        <f t="shared" si="21"/>
        <v>2025</v>
      </c>
      <c r="E648" t="s">
        <v>991</v>
      </c>
      <c r="F648" t="s">
        <v>1010</v>
      </c>
      <c r="G648" t="s">
        <v>37</v>
      </c>
      <c r="H648" t="s">
        <v>21</v>
      </c>
      <c r="I648" t="s">
        <v>77</v>
      </c>
      <c r="J648">
        <v>449</v>
      </c>
      <c r="K648">
        <v>5</v>
      </c>
      <c r="L648">
        <v>2245</v>
      </c>
      <c r="M648" t="s">
        <v>54</v>
      </c>
      <c r="N648" t="s">
        <v>48</v>
      </c>
      <c r="O648" t="s">
        <v>41</v>
      </c>
      <c r="P648">
        <v>29</v>
      </c>
    </row>
    <row r="649" spans="1:16" x14ac:dyDescent="0.3">
      <c r="A649" t="s">
        <v>1817</v>
      </c>
      <c r="B649" t="s">
        <v>390</v>
      </c>
      <c r="C649" t="str">
        <f t="shared" si="20"/>
        <v>June</v>
      </c>
      <c r="D649">
        <f t="shared" si="21"/>
        <v>2024</v>
      </c>
      <c r="E649" t="s">
        <v>903</v>
      </c>
      <c r="F649" t="s">
        <v>1206</v>
      </c>
      <c r="G649" t="s">
        <v>20</v>
      </c>
      <c r="H649" t="s">
        <v>71</v>
      </c>
      <c r="I649" t="s">
        <v>72</v>
      </c>
      <c r="J649">
        <v>1186</v>
      </c>
      <c r="K649">
        <v>1</v>
      </c>
      <c r="L649">
        <v>1186</v>
      </c>
      <c r="M649" t="s">
        <v>54</v>
      </c>
      <c r="N649" t="s">
        <v>40</v>
      </c>
      <c r="O649" t="s">
        <v>32</v>
      </c>
      <c r="P649">
        <v>10</v>
      </c>
    </row>
    <row r="650" spans="1:16" x14ac:dyDescent="0.3">
      <c r="A650" t="s">
        <v>1818</v>
      </c>
      <c r="B650" t="s">
        <v>905</v>
      </c>
      <c r="C650" t="str">
        <f t="shared" si="20"/>
        <v>September</v>
      </c>
      <c r="D650">
        <f t="shared" si="21"/>
        <v>2024</v>
      </c>
      <c r="E650" t="s">
        <v>1819</v>
      </c>
      <c r="F650" t="s">
        <v>183</v>
      </c>
      <c r="G650" t="s">
        <v>20</v>
      </c>
      <c r="H650" t="s">
        <v>71</v>
      </c>
      <c r="I650" t="s">
        <v>124</v>
      </c>
      <c r="J650">
        <v>1151</v>
      </c>
      <c r="K650">
        <v>1</v>
      </c>
      <c r="L650">
        <v>1151</v>
      </c>
      <c r="M650" t="s">
        <v>61</v>
      </c>
      <c r="N650" t="s">
        <v>40</v>
      </c>
      <c r="O650" t="s">
        <v>41</v>
      </c>
      <c r="P650">
        <v>24</v>
      </c>
    </row>
    <row r="651" spans="1:16" x14ac:dyDescent="0.3">
      <c r="A651" t="s">
        <v>1820</v>
      </c>
      <c r="B651" t="s">
        <v>1821</v>
      </c>
      <c r="C651" t="str">
        <f t="shared" si="20"/>
        <v>April</v>
      </c>
      <c r="D651">
        <f t="shared" si="21"/>
        <v>2024</v>
      </c>
      <c r="E651" t="s">
        <v>1822</v>
      </c>
      <c r="F651" t="s">
        <v>1231</v>
      </c>
      <c r="G651" t="s">
        <v>46</v>
      </c>
      <c r="H651" t="s">
        <v>38</v>
      </c>
      <c r="I651" t="s">
        <v>60</v>
      </c>
      <c r="J651">
        <v>548</v>
      </c>
      <c r="K651">
        <v>3</v>
      </c>
      <c r="L651">
        <v>1644</v>
      </c>
      <c r="M651" t="s">
        <v>61</v>
      </c>
      <c r="N651" t="s">
        <v>48</v>
      </c>
      <c r="O651" t="s">
        <v>55</v>
      </c>
      <c r="P651">
        <v>20</v>
      </c>
    </row>
    <row r="652" spans="1:16" x14ac:dyDescent="0.3">
      <c r="A652" t="s">
        <v>1823</v>
      </c>
      <c r="B652" t="s">
        <v>1576</v>
      </c>
      <c r="C652" t="str">
        <f t="shared" si="20"/>
        <v>June</v>
      </c>
      <c r="D652">
        <f t="shared" si="21"/>
        <v>2024</v>
      </c>
      <c r="E652" t="s">
        <v>965</v>
      </c>
      <c r="F652" t="s">
        <v>923</v>
      </c>
      <c r="G652" t="s">
        <v>20</v>
      </c>
      <c r="H652" t="s">
        <v>21</v>
      </c>
      <c r="I652" t="s">
        <v>22</v>
      </c>
      <c r="J652">
        <v>1098</v>
      </c>
      <c r="K652">
        <v>3</v>
      </c>
      <c r="L652">
        <v>3294</v>
      </c>
      <c r="M652" t="s">
        <v>23</v>
      </c>
      <c r="N652" t="s">
        <v>24</v>
      </c>
      <c r="O652" t="s">
        <v>62</v>
      </c>
      <c r="P652">
        <v>30</v>
      </c>
    </row>
    <row r="653" spans="1:16" x14ac:dyDescent="0.3">
      <c r="A653" t="s">
        <v>1824</v>
      </c>
      <c r="B653" t="s">
        <v>1727</v>
      </c>
      <c r="C653" t="str">
        <f t="shared" si="20"/>
        <v>June</v>
      </c>
      <c r="D653">
        <f t="shared" si="21"/>
        <v>2025</v>
      </c>
      <c r="E653" t="s">
        <v>1825</v>
      </c>
      <c r="F653" t="s">
        <v>741</v>
      </c>
      <c r="G653" t="s">
        <v>46</v>
      </c>
      <c r="H653" t="s">
        <v>21</v>
      </c>
      <c r="I653" t="s">
        <v>77</v>
      </c>
      <c r="J653">
        <v>1108</v>
      </c>
      <c r="K653">
        <v>2</v>
      </c>
      <c r="L653">
        <v>2216</v>
      </c>
      <c r="M653" t="s">
        <v>54</v>
      </c>
      <c r="N653" t="s">
        <v>24</v>
      </c>
      <c r="O653" t="s">
        <v>55</v>
      </c>
      <c r="P653">
        <v>12</v>
      </c>
    </row>
    <row r="654" spans="1:16" x14ac:dyDescent="0.3">
      <c r="A654" t="s">
        <v>1826</v>
      </c>
      <c r="B654" t="s">
        <v>253</v>
      </c>
      <c r="C654" t="str">
        <f t="shared" si="20"/>
        <v>June</v>
      </c>
      <c r="D654">
        <f t="shared" si="21"/>
        <v>2024</v>
      </c>
      <c r="E654" t="s">
        <v>1309</v>
      </c>
      <c r="F654" t="s">
        <v>1757</v>
      </c>
      <c r="G654" t="s">
        <v>37</v>
      </c>
      <c r="H654" t="s">
        <v>71</v>
      </c>
      <c r="I654" t="s">
        <v>124</v>
      </c>
      <c r="J654">
        <v>494</v>
      </c>
      <c r="K654">
        <v>4</v>
      </c>
      <c r="L654">
        <v>1976</v>
      </c>
      <c r="M654" t="s">
        <v>138</v>
      </c>
      <c r="N654" t="s">
        <v>31</v>
      </c>
      <c r="O654" t="s">
        <v>125</v>
      </c>
      <c r="P654">
        <v>26</v>
      </c>
    </row>
    <row r="655" spans="1:16" x14ac:dyDescent="0.3">
      <c r="A655" t="s">
        <v>1827</v>
      </c>
      <c r="B655" t="s">
        <v>1155</v>
      </c>
      <c r="C655" t="str">
        <f t="shared" si="20"/>
        <v>December</v>
      </c>
      <c r="D655">
        <f t="shared" si="21"/>
        <v>2024</v>
      </c>
      <c r="E655" t="s">
        <v>790</v>
      </c>
      <c r="F655" t="s">
        <v>1611</v>
      </c>
      <c r="G655" t="s">
        <v>20</v>
      </c>
      <c r="H655" t="s">
        <v>38</v>
      </c>
      <c r="I655" t="s">
        <v>39</v>
      </c>
      <c r="J655">
        <v>478</v>
      </c>
      <c r="K655">
        <v>5</v>
      </c>
      <c r="L655">
        <v>2390</v>
      </c>
      <c r="M655" t="s">
        <v>30</v>
      </c>
      <c r="N655" t="s">
        <v>48</v>
      </c>
      <c r="O655" t="s">
        <v>32</v>
      </c>
      <c r="P655">
        <v>20</v>
      </c>
    </row>
    <row r="656" spans="1:16" x14ac:dyDescent="0.3">
      <c r="A656" t="s">
        <v>1828</v>
      </c>
      <c r="B656" t="s">
        <v>1829</v>
      </c>
      <c r="C656" t="str">
        <f t="shared" si="20"/>
        <v>November</v>
      </c>
      <c r="D656">
        <f t="shared" si="21"/>
        <v>2024</v>
      </c>
      <c r="E656" t="s">
        <v>1598</v>
      </c>
      <c r="F656" t="s">
        <v>286</v>
      </c>
      <c r="G656" t="s">
        <v>37</v>
      </c>
      <c r="H656" t="s">
        <v>71</v>
      </c>
      <c r="I656" t="s">
        <v>83</v>
      </c>
      <c r="J656">
        <v>805</v>
      </c>
      <c r="K656">
        <v>2</v>
      </c>
      <c r="L656">
        <v>1610</v>
      </c>
      <c r="M656" t="s">
        <v>61</v>
      </c>
      <c r="N656" t="s">
        <v>48</v>
      </c>
      <c r="O656" t="s">
        <v>78</v>
      </c>
      <c r="P656">
        <v>1</v>
      </c>
    </row>
    <row r="657" spans="1:16" x14ac:dyDescent="0.3">
      <c r="A657" t="s">
        <v>1830</v>
      </c>
      <c r="B657" t="s">
        <v>1831</v>
      </c>
      <c r="C657" t="str">
        <f t="shared" si="20"/>
        <v>March</v>
      </c>
      <c r="D657">
        <f t="shared" si="21"/>
        <v>2025</v>
      </c>
      <c r="E657" t="s">
        <v>1832</v>
      </c>
      <c r="F657" t="s">
        <v>347</v>
      </c>
      <c r="G657" t="s">
        <v>20</v>
      </c>
      <c r="H657" t="s">
        <v>38</v>
      </c>
      <c r="I657" t="s">
        <v>60</v>
      </c>
      <c r="J657">
        <v>306</v>
      </c>
      <c r="K657">
        <v>5</v>
      </c>
      <c r="L657">
        <v>1530</v>
      </c>
      <c r="M657" t="s">
        <v>61</v>
      </c>
      <c r="N657" t="s">
        <v>48</v>
      </c>
      <c r="O657" t="s">
        <v>25</v>
      </c>
      <c r="P657">
        <v>4</v>
      </c>
    </row>
    <row r="658" spans="1:16" x14ac:dyDescent="0.3">
      <c r="A658" t="s">
        <v>1833</v>
      </c>
      <c r="B658" t="s">
        <v>1292</v>
      </c>
      <c r="C658" t="str">
        <f t="shared" si="20"/>
        <v>July</v>
      </c>
      <c r="D658">
        <f t="shared" si="21"/>
        <v>2025</v>
      </c>
      <c r="E658" t="s">
        <v>777</v>
      </c>
      <c r="F658" t="s">
        <v>317</v>
      </c>
      <c r="G658" t="s">
        <v>37</v>
      </c>
      <c r="H658" t="s">
        <v>38</v>
      </c>
      <c r="I658" t="s">
        <v>47</v>
      </c>
      <c r="J658">
        <v>1257</v>
      </c>
      <c r="K658">
        <v>5</v>
      </c>
      <c r="L658">
        <v>6285</v>
      </c>
      <c r="M658" t="s">
        <v>23</v>
      </c>
      <c r="N658" t="s">
        <v>24</v>
      </c>
      <c r="O658" t="s">
        <v>25</v>
      </c>
      <c r="P658">
        <v>16</v>
      </c>
    </row>
    <row r="659" spans="1:16" x14ac:dyDescent="0.3">
      <c r="A659" t="s">
        <v>1834</v>
      </c>
      <c r="B659" t="s">
        <v>505</v>
      </c>
      <c r="C659" t="str">
        <f t="shared" si="20"/>
        <v>August</v>
      </c>
      <c r="D659">
        <f t="shared" si="21"/>
        <v>2025</v>
      </c>
      <c r="E659" t="s">
        <v>1835</v>
      </c>
      <c r="F659" t="s">
        <v>214</v>
      </c>
      <c r="G659" t="s">
        <v>46</v>
      </c>
      <c r="H659" t="s">
        <v>71</v>
      </c>
      <c r="I659" t="s">
        <v>124</v>
      </c>
      <c r="J659">
        <v>803</v>
      </c>
      <c r="K659">
        <v>5</v>
      </c>
      <c r="L659">
        <v>4015</v>
      </c>
      <c r="M659" t="s">
        <v>30</v>
      </c>
      <c r="N659" t="s">
        <v>48</v>
      </c>
      <c r="O659" t="s">
        <v>62</v>
      </c>
      <c r="P659">
        <v>23</v>
      </c>
    </row>
    <row r="660" spans="1:16" x14ac:dyDescent="0.3">
      <c r="A660" t="s">
        <v>1836</v>
      </c>
      <c r="B660" t="s">
        <v>1597</v>
      </c>
      <c r="C660" t="str">
        <f t="shared" si="20"/>
        <v>March</v>
      </c>
      <c r="D660">
        <f t="shared" si="21"/>
        <v>2025</v>
      </c>
      <c r="E660" t="s">
        <v>696</v>
      </c>
      <c r="F660" t="s">
        <v>76</v>
      </c>
      <c r="G660" t="s">
        <v>46</v>
      </c>
      <c r="H660" t="s">
        <v>71</v>
      </c>
      <c r="I660" t="s">
        <v>72</v>
      </c>
      <c r="J660">
        <v>833</v>
      </c>
      <c r="K660">
        <v>4</v>
      </c>
      <c r="L660">
        <v>3332</v>
      </c>
      <c r="M660" t="s">
        <v>61</v>
      </c>
      <c r="N660" t="s">
        <v>48</v>
      </c>
      <c r="O660" t="s">
        <v>78</v>
      </c>
      <c r="P660">
        <v>1</v>
      </c>
    </row>
    <row r="661" spans="1:16" x14ac:dyDescent="0.3">
      <c r="A661" t="s">
        <v>1837</v>
      </c>
      <c r="B661" t="s">
        <v>304</v>
      </c>
      <c r="C661" t="str">
        <f t="shared" si="20"/>
        <v>July</v>
      </c>
      <c r="D661">
        <f t="shared" si="21"/>
        <v>2024</v>
      </c>
      <c r="E661" t="s">
        <v>1838</v>
      </c>
      <c r="F661" t="s">
        <v>1839</v>
      </c>
      <c r="G661" t="s">
        <v>37</v>
      </c>
      <c r="H661" t="s">
        <v>38</v>
      </c>
      <c r="I661" t="s">
        <v>47</v>
      </c>
      <c r="J661">
        <v>282</v>
      </c>
      <c r="K661">
        <v>5</v>
      </c>
      <c r="L661">
        <v>1410</v>
      </c>
      <c r="M661" t="s">
        <v>138</v>
      </c>
      <c r="N661" t="s">
        <v>40</v>
      </c>
      <c r="O661" t="s">
        <v>78</v>
      </c>
      <c r="P661">
        <v>7</v>
      </c>
    </row>
    <row r="662" spans="1:16" x14ac:dyDescent="0.3">
      <c r="A662" t="s">
        <v>1840</v>
      </c>
      <c r="B662" t="s">
        <v>106</v>
      </c>
      <c r="C662" t="str">
        <f t="shared" si="20"/>
        <v>July</v>
      </c>
      <c r="D662">
        <f t="shared" si="21"/>
        <v>2025</v>
      </c>
      <c r="E662" t="s">
        <v>650</v>
      </c>
      <c r="F662" t="s">
        <v>771</v>
      </c>
      <c r="G662" t="s">
        <v>20</v>
      </c>
      <c r="H662" t="s">
        <v>38</v>
      </c>
      <c r="I662" t="s">
        <v>325</v>
      </c>
      <c r="J662">
        <v>1258</v>
      </c>
      <c r="K662">
        <v>1</v>
      </c>
      <c r="L662">
        <v>1258</v>
      </c>
      <c r="M662" t="s">
        <v>30</v>
      </c>
      <c r="N662" t="s">
        <v>40</v>
      </c>
      <c r="O662" t="s">
        <v>55</v>
      </c>
      <c r="P662">
        <v>11</v>
      </c>
    </row>
    <row r="663" spans="1:16" x14ac:dyDescent="0.3">
      <c r="A663" t="s">
        <v>1841</v>
      </c>
      <c r="B663" t="s">
        <v>106</v>
      </c>
      <c r="C663" t="str">
        <f t="shared" si="20"/>
        <v>July</v>
      </c>
      <c r="D663">
        <f t="shared" si="21"/>
        <v>2025</v>
      </c>
      <c r="E663" t="s">
        <v>1842</v>
      </c>
      <c r="F663" t="s">
        <v>1583</v>
      </c>
      <c r="G663" t="s">
        <v>46</v>
      </c>
      <c r="H663" t="s">
        <v>71</v>
      </c>
      <c r="I663" t="s">
        <v>72</v>
      </c>
      <c r="J663">
        <v>839</v>
      </c>
      <c r="K663">
        <v>1</v>
      </c>
      <c r="L663">
        <v>839</v>
      </c>
      <c r="M663" t="s">
        <v>138</v>
      </c>
      <c r="N663" t="s">
        <v>24</v>
      </c>
      <c r="O663" t="s">
        <v>32</v>
      </c>
      <c r="P663">
        <v>12</v>
      </c>
    </row>
    <row r="664" spans="1:16" x14ac:dyDescent="0.3">
      <c r="A664" t="s">
        <v>1843</v>
      </c>
      <c r="B664" t="s">
        <v>480</v>
      </c>
      <c r="C664" t="str">
        <f t="shared" si="20"/>
        <v>November</v>
      </c>
      <c r="D664">
        <f t="shared" si="21"/>
        <v>2024</v>
      </c>
      <c r="E664" t="s">
        <v>225</v>
      </c>
      <c r="F664" t="s">
        <v>1558</v>
      </c>
      <c r="G664" t="s">
        <v>37</v>
      </c>
      <c r="H664" t="s">
        <v>38</v>
      </c>
      <c r="I664" t="s">
        <v>39</v>
      </c>
      <c r="J664">
        <v>1008</v>
      </c>
      <c r="K664">
        <v>3</v>
      </c>
      <c r="L664">
        <v>3024</v>
      </c>
      <c r="M664" t="s">
        <v>30</v>
      </c>
      <c r="N664" t="s">
        <v>31</v>
      </c>
      <c r="O664" t="s">
        <v>41</v>
      </c>
      <c r="P664">
        <v>12</v>
      </c>
    </row>
    <row r="665" spans="1:16" x14ac:dyDescent="0.3">
      <c r="A665" t="s">
        <v>1844</v>
      </c>
      <c r="B665" t="s">
        <v>1845</v>
      </c>
      <c r="C665" t="str">
        <f t="shared" si="20"/>
        <v>February</v>
      </c>
      <c r="D665">
        <f t="shared" si="21"/>
        <v>2024</v>
      </c>
      <c r="E665" t="s">
        <v>1846</v>
      </c>
      <c r="F665" t="s">
        <v>142</v>
      </c>
      <c r="G665" t="s">
        <v>20</v>
      </c>
      <c r="H665" t="s">
        <v>21</v>
      </c>
      <c r="I665" t="s">
        <v>22</v>
      </c>
      <c r="J665">
        <v>636</v>
      </c>
      <c r="K665">
        <v>1</v>
      </c>
      <c r="L665">
        <v>636</v>
      </c>
      <c r="M665" t="s">
        <v>61</v>
      </c>
      <c r="N665" t="s">
        <v>31</v>
      </c>
      <c r="O665" t="s">
        <v>25</v>
      </c>
      <c r="P665">
        <v>25</v>
      </c>
    </row>
    <row r="666" spans="1:16" x14ac:dyDescent="0.3">
      <c r="A666" t="s">
        <v>1847</v>
      </c>
      <c r="B666" t="s">
        <v>1848</v>
      </c>
      <c r="C666" t="str">
        <f t="shared" si="20"/>
        <v>July</v>
      </c>
      <c r="D666">
        <f t="shared" si="21"/>
        <v>2025</v>
      </c>
      <c r="E666" t="s">
        <v>1849</v>
      </c>
      <c r="F666" t="s">
        <v>733</v>
      </c>
      <c r="G666" t="s">
        <v>46</v>
      </c>
      <c r="H666" t="s">
        <v>71</v>
      </c>
      <c r="I666" t="s">
        <v>72</v>
      </c>
      <c r="J666">
        <v>630</v>
      </c>
      <c r="K666">
        <v>2</v>
      </c>
      <c r="L666">
        <v>1260</v>
      </c>
      <c r="M666" t="s">
        <v>23</v>
      </c>
      <c r="N666" t="s">
        <v>48</v>
      </c>
      <c r="O666" t="s">
        <v>32</v>
      </c>
      <c r="P666">
        <v>1</v>
      </c>
    </row>
    <row r="667" spans="1:16" x14ac:dyDescent="0.3">
      <c r="A667" t="s">
        <v>1850</v>
      </c>
      <c r="B667" t="s">
        <v>1370</v>
      </c>
      <c r="C667" t="str">
        <f t="shared" si="20"/>
        <v>April</v>
      </c>
      <c r="D667">
        <f t="shared" si="21"/>
        <v>2024</v>
      </c>
      <c r="E667" t="s">
        <v>1170</v>
      </c>
      <c r="F667" t="s">
        <v>1010</v>
      </c>
      <c r="G667" t="s">
        <v>46</v>
      </c>
      <c r="H667" t="s">
        <v>21</v>
      </c>
      <c r="I667" t="s">
        <v>77</v>
      </c>
      <c r="J667">
        <v>675</v>
      </c>
      <c r="K667">
        <v>5</v>
      </c>
      <c r="L667">
        <v>3375</v>
      </c>
      <c r="M667" t="s">
        <v>138</v>
      </c>
      <c r="N667" t="s">
        <v>31</v>
      </c>
      <c r="O667" t="s">
        <v>125</v>
      </c>
      <c r="P667">
        <v>21</v>
      </c>
    </row>
    <row r="668" spans="1:16" x14ac:dyDescent="0.3">
      <c r="A668" t="s">
        <v>1851</v>
      </c>
      <c r="B668" t="s">
        <v>1852</v>
      </c>
      <c r="C668" t="str">
        <f t="shared" si="20"/>
        <v>May</v>
      </c>
      <c r="D668">
        <f t="shared" si="21"/>
        <v>2024</v>
      </c>
      <c r="E668" t="s">
        <v>1214</v>
      </c>
      <c r="F668" t="s">
        <v>88</v>
      </c>
      <c r="G668" t="s">
        <v>37</v>
      </c>
      <c r="H668" t="s">
        <v>71</v>
      </c>
      <c r="I668" t="s">
        <v>124</v>
      </c>
      <c r="J668">
        <v>1461</v>
      </c>
      <c r="K668">
        <v>1</v>
      </c>
      <c r="L668">
        <v>1461</v>
      </c>
      <c r="M668" t="s">
        <v>61</v>
      </c>
      <c r="N668" t="s">
        <v>31</v>
      </c>
      <c r="O668" t="s">
        <v>41</v>
      </c>
      <c r="P668">
        <v>16</v>
      </c>
    </row>
    <row r="669" spans="1:16" x14ac:dyDescent="0.3">
      <c r="A669" t="s">
        <v>1853</v>
      </c>
      <c r="B669" t="s">
        <v>1854</v>
      </c>
      <c r="C669" t="str">
        <f t="shared" si="20"/>
        <v>May</v>
      </c>
      <c r="D669">
        <f t="shared" si="21"/>
        <v>2025</v>
      </c>
      <c r="E669" t="s">
        <v>1855</v>
      </c>
      <c r="F669" t="s">
        <v>70</v>
      </c>
      <c r="G669" t="s">
        <v>46</v>
      </c>
      <c r="H669" t="s">
        <v>38</v>
      </c>
      <c r="I669" t="s">
        <v>47</v>
      </c>
      <c r="J669">
        <v>1165</v>
      </c>
      <c r="K669">
        <v>5</v>
      </c>
      <c r="L669">
        <v>5825</v>
      </c>
      <c r="M669" t="s">
        <v>61</v>
      </c>
      <c r="N669" t="s">
        <v>24</v>
      </c>
      <c r="O669" t="s">
        <v>25</v>
      </c>
      <c r="P669">
        <v>9</v>
      </c>
    </row>
    <row r="670" spans="1:16" x14ac:dyDescent="0.3">
      <c r="A670" t="s">
        <v>1856</v>
      </c>
      <c r="B670" t="s">
        <v>1681</v>
      </c>
      <c r="C670" t="str">
        <f t="shared" si="20"/>
        <v>January</v>
      </c>
      <c r="D670">
        <f t="shared" si="21"/>
        <v>2024</v>
      </c>
      <c r="E670" t="s">
        <v>949</v>
      </c>
      <c r="F670" t="s">
        <v>1324</v>
      </c>
      <c r="G670" t="s">
        <v>46</v>
      </c>
      <c r="H670" t="s">
        <v>21</v>
      </c>
      <c r="I670" t="s">
        <v>22</v>
      </c>
      <c r="J670">
        <v>1281</v>
      </c>
      <c r="K670">
        <v>1</v>
      </c>
      <c r="L670">
        <v>1281</v>
      </c>
      <c r="M670" t="s">
        <v>54</v>
      </c>
      <c r="N670" t="s">
        <v>24</v>
      </c>
      <c r="O670" t="s">
        <v>41</v>
      </c>
      <c r="P670">
        <v>28</v>
      </c>
    </row>
    <row r="671" spans="1:16" x14ac:dyDescent="0.3">
      <c r="A671" t="s">
        <v>1857</v>
      </c>
      <c r="B671" t="s">
        <v>1164</v>
      </c>
      <c r="C671" t="str">
        <f t="shared" si="20"/>
        <v>October</v>
      </c>
      <c r="D671">
        <f t="shared" si="21"/>
        <v>2024</v>
      </c>
      <c r="E671" t="s">
        <v>1858</v>
      </c>
      <c r="F671" t="s">
        <v>190</v>
      </c>
      <c r="G671" t="s">
        <v>37</v>
      </c>
      <c r="H671" t="s">
        <v>71</v>
      </c>
      <c r="I671" t="s">
        <v>124</v>
      </c>
      <c r="J671">
        <v>551</v>
      </c>
      <c r="K671">
        <v>4</v>
      </c>
      <c r="L671">
        <v>2204</v>
      </c>
      <c r="M671" t="s">
        <v>23</v>
      </c>
      <c r="N671" t="s">
        <v>48</v>
      </c>
      <c r="O671" t="s">
        <v>78</v>
      </c>
      <c r="P671">
        <v>20</v>
      </c>
    </row>
    <row r="672" spans="1:16" x14ac:dyDescent="0.3">
      <c r="A672" t="s">
        <v>1859</v>
      </c>
      <c r="B672" t="s">
        <v>1860</v>
      </c>
      <c r="C672" t="str">
        <f t="shared" si="20"/>
        <v>March</v>
      </c>
      <c r="D672">
        <f t="shared" si="21"/>
        <v>2025</v>
      </c>
      <c r="E672" t="s">
        <v>1861</v>
      </c>
      <c r="F672" t="s">
        <v>412</v>
      </c>
      <c r="G672" t="s">
        <v>20</v>
      </c>
      <c r="H672" t="s">
        <v>21</v>
      </c>
      <c r="I672" t="s">
        <v>77</v>
      </c>
      <c r="J672">
        <v>319</v>
      </c>
      <c r="K672">
        <v>1</v>
      </c>
      <c r="L672">
        <v>319</v>
      </c>
      <c r="M672" t="s">
        <v>30</v>
      </c>
      <c r="N672" t="s">
        <v>24</v>
      </c>
      <c r="O672" t="s">
        <v>125</v>
      </c>
      <c r="P672">
        <v>5</v>
      </c>
    </row>
    <row r="673" spans="1:16" x14ac:dyDescent="0.3">
      <c r="A673" t="s">
        <v>1862</v>
      </c>
      <c r="B673" t="s">
        <v>1863</v>
      </c>
      <c r="C673" t="str">
        <f t="shared" si="20"/>
        <v>March</v>
      </c>
      <c r="D673">
        <f t="shared" si="21"/>
        <v>2024</v>
      </c>
      <c r="E673" t="s">
        <v>1864</v>
      </c>
      <c r="F673" t="s">
        <v>1177</v>
      </c>
      <c r="G673" t="s">
        <v>46</v>
      </c>
      <c r="H673" t="s">
        <v>21</v>
      </c>
      <c r="I673" t="s">
        <v>77</v>
      </c>
      <c r="J673">
        <v>297</v>
      </c>
      <c r="K673">
        <v>1</v>
      </c>
      <c r="L673">
        <v>297</v>
      </c>
      <c r="M673" t="s">
        <v>138</v>
      </c>
      <c r="N673" t="s">
        <v>48</v>
      </c>
      <c r="O673" t="s">
        <v>125</v>
      </c>
      <c r="P673">
        <v>25</v>
      </c>
    </row>
    <row r="674" spans="1:16" x14ac:dyDescent="0.3">
      <c r="A674" t="s">
        <v>1865</v>
      </c>
      <c r="B674" t="s">
        <v>1603</v>
      </c>
      <c r="C674" t="str">
        <f t="shared" si="20"/>
        <v>February</v>
      </c>
      <c r="D674">
        <f t="shared" si="21"/>
        <v>2024</v>
      </c>
      <c r="E674" t="s">
        <v>1223</v>
      </c>
      <c r="F674" t="s">
        <v>1129</v>
      </c>
      <c r="G674" t="s">
        <v>20</v>
      </c>
      <c r="H674" t="s">
        <v>38</v>
      </c>
      <c r="I674" t="s">
        <v>130</v>
      </c>
      <c r="J674">
        <v>674</v>
      </c>
      <c r="K674">
        <v>3</v>
      </c>
      <c r="L674">
        <v>2022</v>
      </c>
      <c r="M674" t="s">
        <v>54</v>
      </c>
      <c r="N674" t="s">
        <v>48</v>
      </c>
      <c r="O674" t="s">
        <v>55</v>
      </c>
      <c r="P674">
        <v>16</v>
      </c>
    </row>
    <row r="675" spans="1:16" x14ac:dyDescent="0.3">
      <c r="A675" t="s">
        <v>1866</v>
      </c>
      <c r="B675" t="s">
        <v>1867</v>
      </c>
      <c r="C675" t="str">
        <f t="shared" si="20"/>
        <v>May</v>
      </c>
      <c r="D675">
        <f t="shared" si="21"/>
        <v>2025</v>
      </c>
      <c r="E675" t="s">
        <v>1868</v>
      </c>
      <c r="F675" t="s">
        <v>1869</v>
      </c>
      <c r="G675" t="s">
        <v>20</v>
      </c>
      <c r="H675" t="s">
        <v>21</v>
      </c>
      <c r="I675" t="s">
        <v>114</v>
      </c>
      <c r="J675">
        <v>704</v>
      </c>
      <c r="K675">
        <v>2</v>
      </c>
      <c r="L675">
        <v>1408</v>
      </c>
      <c r="M675" t="s">
        <v>138</v>
      </c>
      <c r="N675" t="s">
        <v>31</v>
      </c>
      <c r="O675" t="s">
        <v>84</v>
      </c>
      <c r="P675">
        <v>2</v>
      </c>
    </row>
    <row r="676" spans="1:16" x14ac:dyDescent="0.3">
      <c r="A676" t="s">
        <v>1870</v>
      </c>
      <c r="B676" t="s">
        <v>1871</v>
      </c>
      <c r="C676" t="str">
        <f t="shared" si="20"/>
        <v>August</v>
      </c>
      <c r="D676">
        <f t="shared" si="21"/>
        <v>2024</v>
      </c>
      <c r="E676" t="s">
        <v>835</v>
      </c>
      <c r="F676" t="s">
        <v>977</v>
      </c>
      <c r="G676" t="s">
        <v>20</v>
      </c>
      <c r="H676" t="s">
        <v>38</v>
      </c>
      <c r="I676" t="s">
        <v>325</v>
      </c>
      <c r="J676">
        <v>274</v>
      </c>
      <c r="K676">
        <v>4</v>
      </c>
      <c r="L676">
        <v>1096</v>
      </c>
      <c r="M676" t="s">
        <v>30</v>
      </c>
      <c r="N676" t="s">
        <v>24</v>
      </c>
      <c r="O676" t="s">
        <v>25</v>
      </c>
      <c r="P676">
        <v>20</v>
      </c>
    </row>
    <row r="677" spans="1:16" x14ac:dyDescent="0.3">
      <c r="A677" t="s">
        <v>1872</v>
      </c>
      <c r="B677" t="s">
        <v>1873</v>
      </c>
      <c r="C677" t="str">
        <f t="shared" si="20"/>
        <v>October</v>
      </c>
      <c r="D677">
        <f t="shared" si="21"/>
        <v>2024</v>
      </c>
      <c r="E677" t="s">
        <v>936</v>
      </c>
      <c r="F677" t="s">
        <v>1000</v>
      </c>
      <c r="G677" t="s">
        <v>20</v>
      </c>
      <c r="H677" t="s">
        <v>71</v>
      </c>
      <c r="I677" t="s">
        <v>124</v>
      </c>
      <c r="J677">
        <v>772</v>
      </c>
      <c r="K677">
        <v>2</v>
      </c>
      <c r="L677">
        <v>1544</v>
      </c>
      <c r="M677" t="s">
        <v>138</v>
      </c>
      <c r="N677" t="s">
        <v>24</v>
      </c>
      <c r="O677" t="s">
        <v>62</v>
      </c>
      <c r="P677">
        <v>15</v>
      </c>
    </row>
    <row r="678" spans="1:16" x14ac:dyDescent="0.3">
      <c r="A678" t="s">
        <v>1874</v>
      </c>
      <c r="B678" t="s">
        <v>431</v>
      </c>
      <c r="C678" t="str">
        <f t="shared" si="20"/>
        <v>December</v>
      </c>
      <c r="D678">
        <f t="shared" si="21"/>
        <v>2024</v>
      </c>
      <c r="E678" t="s">
        <v>107</v>
      </c>
      <c r="F678" t="s">
        <v>568</v>
      </c>
      <c r="G678" t="s">
        <v>37</v>
      </c>
      <c r="H678" t="s">
        <v>21</v>
      </c>
      <c r="I678" t="s">
        <v>22</v>
      </c>
      <c r="J678">
        <v>1060</v>
      </c>
      <c r="K678">
        <v>3</v>
      </c>
      <c r="L678">
        <v>3180</v>
      </c>
      <c r="M678" t="s">
        <v>61</v>
      </c>
      <c r="N678" t="s">
        <v>40</v>
      </c>
      <c r="O678" t="s">
        <v>78</v>
      </c>
      <c r="P678">
        <v>13</v>
      </c>
    </row>
    <row r="679" spans="1:16" x14ac:dyDescent="0.3">
      <c r="A679" t="s">
        <v>1875</v>
      </c>
      <c r="B679" t="s">
        <v>921</v>
      </c>
      <c r="C679" t="str">
        <f t="shared" si="20"/>
        <v>February</v>
      </c>
      <c r="D679">
        <f t="shared" si="21"/>
        <v>2025</v>
      </c>
      <c r="E679" t="s">
        <v>1876</v>
      </c>
      <c r="F679" t="s">
        <v>158</v>
      </c>
      <c r="G679" t="s">
        <v>46</v>
      </c>
      <c r="H679" t="s">
        <v>71</v>
      </c>
      <c r="I679" t="s">
        <v>96</v>
      </c>
      <c r="J679">
        <v>1268</v>
      </c>
      <c r="K679">
        <v>3</v>
      </c>
      <c r="L679">
        <v>3804</v>
      </c>
      <c r="M679" t="s">
        <v>30</v>
      </c>
      <c r="N679" t="s">
        <v>48</v>
      </c>
      <c r="O679" t="s">
        <v>125</v>
      </c>
      <c r="P679">
        <v>7</v>
      </c>
    </row>
    <row r="680" spans="1:16" x14ac:dyDescent="0.3">
      <c r="A680" t="s">
        <v>1877</v>
      </c>
      <c r="B680" t="s">
        <v>1878</v>
      </c>
      <c r="C680" t="str">
        <f t="shared" si="20"/>
        <v>August</v>
      </c>
      <c r="D680">
        <f t="shared" si="21"/>
        <v>2025</v>
      </c>
      <c r="E680" t="s">
        <v>929</v>
      </c>
      <c r="F680" t="s">
        <v>726</v>
      </c>
      <c r="G680" t="s">
        <v>37</v>
      </c>
      <c r="H680" t="s">
        <v>21</v>
      </c>
      <c r="I680" t="s">
        <v>114</v>
      </c>
      <c r="J680">
        <v>700</v>
      </c>
      <c r="K680">
        <v>5</v>
      </c>
      <c r="L680">
        <v>3500</v>
      </c>
      <c r="M680" t="s">
        <v>54</v>
      </c>
      <c r="N680" t="s">
        <v>31</v>
      </c>
      <c r="O680" t="s">
        <v>84</v>
      </c>
      <c r="P680">
        <v>11</v>
      </c>
    </row>
    <row r="681" spans="1:16" x14ac:dyDescent="0.3">
      <c r="A681" t="s">
        <v>1879</v>
      </c>
      <c r="B681" t="s">
        <v>447</v>
      </c>
      <c r="C681" t="str">
        <f t="shared" si="20"/>
        <v>April</v>
      </c>
      <c r="D681">
        <f t="shared" si="21"/>
        <v>2024</v>
      </c>
      <c r="E681" t="s">
        <v>1403</v>
      </c>
      <c r="F681" t="s">
        <v>684</v>
      </c>
      <c r="G681" t="s">
        <v>46</v>
      </c>
      <c r="H681" t="s">
        <v>71</v>
      </c>
      <c r="I681" t="s">
        <v>124</v>
      </c>
      <c r="J681">
        <v>259</v>
      </c>
      <c r="K681">
        <v>2</v>
      </c>
      <c r="L681">
        <v>518</v>
      </c>
      <c r="M681" t="s">
        <v>30</v>
      </c>
      <c r="N681" t="s">
        <v>40</v>
      </c>
      <c r="O681" t="s">
        <v>55</v>
      </c>
      <c r="P681">
        <v>29</v>
      </c>
    </row>
    <row r="682" spans="1:16" x14ac:dyDescent="0.3">
      <c r="A682" t="s">
        <v>1880</v>
      </c>
      <c r="B682" t="s">
        <v>1548</v>
      </c>
      <c r="C682" t="str">
        <f t="shared" si="20"/>
        <v>May</v>
      </c>
      <c r="D682">
        <f t="shared" si="21"/>
        <v>2024</v>
      </c>
      <c r="E682" t="s">
        <v>1881</v>
      </c>
      <c r="F682" t="s">
        <v>129</v>
      </c>
      <c r="G682" t="s">
        <v>20</v>
      </c>
      <c r="H682" t="s">
        <v>71</v>
      </c>
      <c r="I682" t="s">
        <v>96</v>
      </c>
      <c r="J682">
        <v>1199</v>
      </c>
      <c r="K682">
        <v>5</v>
      </c>
      <c r="L682">
        <v>5995</v>
      </c>
      <c r="M682" t="s">
        <v>138</v>
      </c>
      <c r="N682" t="s">
        <v>48</v>
      </c>
      <c r="O682" t="s">
        <v>32</v>
      </c>
      <c r="P682">
        <v>18</v>
      </c>
    </row>
    <row r="683" spans="1:16" x14ac:dyDescent="0.3">
      <c r="A683" t="s">
        <v>1882</v>
      </c>
      <c r="B683" t="s">
        <v>1883</v>
      </c>
      <c r="C683" t="str">
        <f t="shared" si="20"/>
        <v>April</v>
      </c>
      <c r="D683">
        <f t="shared" si="21"/>
        <v>2024</v>
      </c>
      <c r="E683" t="s">
        <v>1884</v>
      </c>
      <c r="F683" t="s">
        <v>952</v>
      </c>
      <c r="G683" t="s">
        <v>37</v>
      </c>
      <c r="H683" t="s">
        <v>38</v>
      </c>
      <c r="I683" t="s">
        <v>47</v>
      </c>
      <c r="J683">
        <v>1320</v>
      </c>
      <c r="K683">
        <v>2</v>
      </c>
      <c r="L683">
        <v>2640</v>
      </c>
      <c r="M683" t="s">
        <v>54</v>
      </c>
      <c r="N683" t="s">
        <v>40</v>
      </c>
      <c r="O683" t="s">
        <v>25</v>
      </c>
      <c r="P683">
        <v>27</v>
      </c>
    </row>
    <row r="684" spans="1:16" x14ac:dyDescent="0.3">
      <c r="A684" t="s">
        <v>1885</v>
      </c>
      <c r="B684" t="s">
        <v>1420</v>
      </c>
      <c r="C684" t="str">
        <f t="shared" si="20"/>
        <v>June</v>
      </c>
      <c r="D684">
        <f t="shared" si="21"/>
        <v>2025</v>
      </c>
      <c r="E684" t="s">
        <v>1886</v>
      </c>
      <c r="F684" t="s">
        <v>632</v>
      </c>
      <c r="G684" t="s">
        <v>46</v>
      </c>
      <c r="H684" t="s">
        <v>38</v>
      </c>
      <c r="I684" t="s">
        <v>60</v>
      </c>
      <c r="J684">
        <v>401</v>
      </c>
      <c r="K684">
        <v>5</v>
      </c>
      <c r="L684">
        <v>2005</v>
      </c>
      <c r="M684" t="s">
        <v>30</v>
      </c>
      <c r="N684" t="s">
        <v>31</v>
      </c>
      <c r="O684" t="s">
        <v>62</v>
      </c>
      <c r="P684">
        <v>5</v>
      </c>
    </row>
    <row r="685" spans="1:16" x14ac:dyDescent="0.3">
      <c r="A685" t="s">
        <v>1887</v>
      </c>
      <c r="B685" t="s">
        <v>1888</v>
      </c>
      <c r="C685" t="str">
        <f t="shared" si="20"/>
        <v>July</v>
      </c>
      <c r="D685">
        <f t="shared" si="21"/>
        <v>2025</v>
      </c>
      <c r="E685" t="s">
        <v>1889</v>
      </c>
      <c r="F685" t="s">
        <v>585</v>
      </c>
      <c r="G685" t="s">
        <v>37</v>
      </c>
      <c r="H685" t="s">
        <v>71</v>
      </c>
      <c r="I685" t="s">
        <v>119</v>
      </c>
      <c r="J685">
        <v>583</v>
      </c>
      <c r="K685">
        <v>2</v>
      </c>
      <c r="L685">
        <v>1166</v>
      </c>
      <c r="M685" t="s">
        <v>23</v>
      </c>
      <c r="N685" t="s">
        <v>48</v>
      </c>
      <c r="O685" t="s">
        <v>25</v>
      </c>
      <c r="P685">
        <v>3</v>
      </c>
    </row>
    <row r="686" spans="1:16" x14ac:dyDescent="0.3">
      <c r="A686" t="s">
        <v>1890</v>
      </c>
      <c r="B686" t="s">
        <v>1709</v>
      </c>
      <c r="C686" t="str">
        <f t="shared" si="20"/>
        <v>July</v>
      </c>
      <c r="D686">
        <f t="shared" si="21"/>
        <v>2024</v>
      </c>
      <c r="E686" t="s">
        <v>1891</v>
      </c>
      <c r="F686" t="s">
        <v>146</v>
      </c>
      <c r="G686" t="s">
        <v>37</v>
      </c>
      <c r="H686" t="s">
        <v>71</v>
      </c>
      <c r="I686" t="s">
        <v>124</v>
      </c>
      <c r="J686">
        <v>482</v>
      </c>
      <c r="K686">
        <v>1</v>
      </c>
      <c r="L686">
        <v>482</v>
      </c>
      <c r="M686" t="s">
        <v>54</v>
      </c>
      <c r="N686" t="s">
        <v>24</v>
      </c>
      <c r="O686" t="s">
        <v>32</v>
      </c>
      <c r="P686">
        <v>13</v>
      </c>
    </row>
    <row r="687" spans="1:16" x14ac:dyDescent="0.3">
      <c r="A687" t="s">
        <v>1892</v>
      </c>
      <c r="B687" t="s">
        <v>957</v>
      </c>
      <c r="C687" t="str">
        <f t="shared" si="20"/>
        <v>August</v>
      </c>
      <c r="D687">
        <f t="shared" si="21"/>
        <v>2024</v>
      </c>
      <c r="E687" t="s">
        <v>1893</v>
      </c>
      <c r="F687" t="s">
        <v>636</v>
      </c>
      <c r="G687" t="s">
        <v>37</v>
      </c>
      <c r="H687" t="s">
        <v>71</v>
      </c>
      <c r="I687" t="s">
        <v>124</v>
      </c>
      <c r="J687">
        <v>1249</v>
      </c>
      <c r="K687">
        <v>3</v>
      </c>
      <c r="L687">
        <v>3747</v>
      </c>
      <c r="M687" t="s">
        <v>30</v>
      </c>
      <c r="N687" t="s">
        <v>24</v>
      </c>
      <c r="O687" t="s">
        <v>62</v>
      </c>
      <c r="P687">
        <v>0</v>
      </c>
    </row>
    <row r="688" spans="1:16" x14ac:dyDescent="0.3">
      <c r="A688" t="s">
        <v>1894</v>
      </c>
      <c r="B688" t="s">
        <v>1895</v>
      </c>
      <c r="C688" t="str">
        <f t="shared" si="20"/>
        <v>March</v>
      </c>
      <c r="D688">
        <f t="shared" si="21"/>
        <v>2025</v>
      </c>
      <c r="E688" t="s">
        <v>1896</v>
      </c>
      <c r="F688" t="s">
        <v>1542</v>
      </c>
      <c r="G688" t="s">
        <v>37</v>
      </c>
      <c r="H688" t="s">
        <v>21</v>
      </c>
      <c r="I688" t="s">
        <v>53</v>
      </c>
      <c r="J688">
        <v>1275</v>
      </c>
      <c r="K688">
        <v>5</v>
      </c>
      <c r="L688">
        <v>6375</v>
      </c>
      <c r="M688" t="s">
        <v>23</v>
      </c>
      <c r="N688" t="s">
        <v>40</v>
      </c>
      <c r="O688" t="s">
        <v>41</v>
      </c>
      <c r="P688">
        <v>14</v>
      </c>
    </row>
    <row r="689" spans="1:16" x14ac:dyDescent="0.3">
      <c r="A689" t="s">
        <v>1897</v>
      </c>
      <c r="B689" t="s">
        <v>1898</v>
      </c>
      <c r="C689" t="str">
        <f t="shared" si="20"/>
        <v>May</v>
      </c>
      <c r="D689">
        <f t="shared" si="21"/>
        <v>2024</v>
      </c>
      <c r="E689" t="s">
        <v>1899</v>
      </c>
      <c r="F689" t="s">
        <v>244</v>
      </c>
      <c r="G689" t="s">
        <v>37</v>
      </c>
      <c r="H689" t="s">
        <v>21</v>
      </c>
      <c r="I689" t="s">
        <v>22</v>
      </c>
      <c r="J689">
        <v>554</v>
      </c>
      <c r="K689">
        <v>4</v>
      </c>
      <c r="L689">
        <v>2216</v>
      </c>
      <c r="M689" t="s">
        <v>23</v>
      </c>
      <c r="N689" t="s">
        <v>48</v>
      </c>
      <c r="O689" t="s">
        <v>78</v>
      </c>
      <c r="P689">
        <v>13</v>
      </c>
    </row>
    <row r="690" spans="1:16" x14ac:dyDescent="0.3">
      <c r="A690" t="s">
        <v>1900</v>
      </c>
      <c r="B690" t="s">
        <v>677</v>
      </c>
      <c r="C690" t="str">
        <f t="shared" si="20"/>
        <v>February</v>
      </c>
      <c r="D690">
        <f t="shared" si="21"/>
        <v>2024</v>
      </c>
      <c r="E690" t="s">
        <v>1496</v>
      </c>
      <c r="F690" t="s">
        <v>1901</v>
      </c>
      <c r="G690" t="s">
        <v>37</v>
      </c>
      <c r="H690" t="s">
        <v>71</v>
      </c>
      <c r="I690" t="s">
        <v>83</v>
      </c>
      <c r="J690">
        <v>565</v>
      </c>
      <c r="K690">
        <v>2</v>
      </c>
      <c r="L690">
        <v>1130</v>
      </c>
      <c r="M690" t="s">
        <v>138</v>
      </c>
      <c r="N690" t="s">
        <v>48</v>
      </c>
      <c r="O690" t="s">
        <v>41</v>
      </c>
      <c r="P690">
        <v>3</v>
      </c>
    </row>
    <row r="691" spans="1:16" x14ac:dyDescent="0.3">
      <c r="A691" t="s">
        <v>1902</v>
      </c>
      <c r="B691" t="s">
        <v>874</v>
      </c>
      <c r="C691" t="str">
        <f t="shared" si="20"/>
        <v>June</v>
      </c>
      <c r="D691">
        <f t="shared" si="21"/>
        <v>2024</v>
      </c>
      <c r="E691" t="s">
        <v>1903</v>
      </c>
      <c r="F691" t="s">
        <v>966</v>
      </c>
      <c r="G691" t="s">
        <v>37</v>
      </c>
      <c r="H691" t="s">
        <v>21</v>
      </c>
      <c r="I691" t="s">
        <v>109</v>
      </c>
      <c r="J691">
        <v>860</v>
      </c>
      <c r="K691">
        <v>5</v>
      </c>
      <c r="L691">
        <v>4300</v>
      </c>
      <c r="M691" t="s">
        <v>138</v>
      </c>
      <c r="N691" t="s">
        <v>31</v>
      </c>
      <c r="O691" t="s">
        <v>125</v>
      </c>
      <c r="P691">
        <v>6</v>
      </c>
    </row>
    <row r="692" spans="1:16" x14ac:dyDescent="0.3">
      <c r="A692" t="s">
        <v>1904</v>
      </c>
      <c r="B692" t="s">
        <v>315</v>
      </c>
      <c r="C692" t="str">
        <f t="shared" si="20"/>
        <v>July</v>
      </c>
      <c r="D692">
        <f t="shared" si="21"/>
        <v>2024</v>
      </c>
      <c r="E692" t="s">
        <v>1905</v>
      </c>
      <c r="F692" t="s">
        <v>1906</v>
      </c>
      <c r="G692" t="s">
        <v>37</v>
      </c>
      <c r="H692" t="s">
        <v>71</v>
      </c>
      <c r="I692" t="s">
        <v>83</v>
      </c>
      <c r="J692">
        <v>810</v>
      </c>
      <c r="K692">
        <v>5</v>
      </c>
      <c r="L692">
        <v>4050</v>
      </c>
      <c r="M692" t="s">
        <v>30</v>
      </c>
      <c r="N692" t="s">
        <v>40</v>
      </c>
      <c r="O692" t="s">
        <v>32</v>
      </c>
      <c r="P692">
        <v>20</v>
      </c>
    </row>
    <row r="693" spans="1:16" x14ac:dyDescent="0.3">
      <c r="A693" t="s">
        <v>1907</v>
      </c>
      <c r="B693" t="s">
        <v>1908</v>
      </c>
      <c r="C693" t="str">
        <f t="shared" si="20"/>
        <v>May</v>
      </c>
      <c r="D693">
        <f t="shared" si="21"/>
        <v>2024</v>
      </c>
      <c r="E693" t="s">
        <v>1144</v>
      </c>
      <c r="F693" t="s">
        <v>432</v>
      </c>
      <c r="G693" t="s">
        <v>20</v>
      </c>
      <c r="H693" t="s">
        <v>21</v>
      </c>
      <c r="I693" t="s">
        <v>109</v>
      </c>
      <c r="J693">
        <v>626</v>
      </c>
      <c r="K693">
        <v>4</v>
      </c>
      <c r="L693">
        <v>2504</v>
      </c>
      <c r="M693" t="s">
        <v>138</v>
      </c>
      <c r="N693" t="s">
        <v>48</v>
      </c>
      <c r="O693" t="s">
        <v>78</v>
      </c>
      <c r="P693">
        <v>23</v>
      </c>
    </row>
    <row r="694" spans="1:16" x14ac:dyDescent="0.3">
      <c r="A694" t="s">
        <v>1909</v>
      </c>
      <c r="B694" t="s">
        <v>408</v>
      </c>
      <c r="C694" t="str">
        <f t="shared" si="20"/>
        <v>May</v>
      </c>
      <c r="D694">
        <f t="shared" si="21"/>
        <v>2024</v>
      </c>
      <c r="E694" t="s">
        <v>383</v>
      </c>
      <c r="F694" t="s">
        <v>1196</v>
      </c>
      <c r="G694" t="s">
        <v>37</v>
      </c>
      <c r="H694" t="s">
        <v>71</v>
      </c>
      <c r="I694" t="s">
        <v>124</v>
      </c>
      <c r="J694">
        <v>268</v>
      </c>
      <c r="K694">
        <v>3</v>
      </c>
      <c r="L694">
        <v>804</v>
      </c>
      <c r="M694" t="s">
        <v>23</v>
      </c>
      <c r="N694" t="s">
        <v>40</v>
      </c>
      <c r="O694" t="s">
        <v>41</v>
      </c>
      <c r="P694">
        <v>24</v>
      </c>
    </row>
    <row r="695" spans="1:16" x14ac:dyDescent="0.3">
      <c r="A695" t="s">
        <v>1910</v>
      </c>
      <c r="B695" t="s">
        <v>1746</v>
      </c>
      <c r="C695" t="str">
        <f t="shared" si="20"/>
        <v>April</v>
      </c>
      <c r="D695">
        <f t="shared" si="21"/>
        <v>2025</v>
      </c>
      <c r="E695" t="s">
        <v>481</v>
      </c>
      <c r="F695" t="s">
        <v>930</v>
      </c>
      <c r="G695" t="s">
        <v>37</v>
      </c>
      <c r="H695" t="s">
        <v>21</v>
      </c>
      <c r="I695" t="s">
        <v>77</v>
      </c>
      <c r="J695">
        <v>415</v>
      </c>
      <c r="K695">
        <v>4</v>
      </c>
      <c r="L695">
        <v>1660</v>
      </c>
      <c r="M695" t="s">
        <v>54</v>
      </c>
      <c r="N695" t="s">
        <v>40</v>
      </c>
      <c r="O695" t="s">
        <v>32</v>
      </c>
      <c r="P695">
        <v>16</v>
      </c>
    </row>
    <row r="696" spans="1:16" x14ac:dyDescent="0.3">
      <c r="A696" t="s">
        <v>1911</v>
      </c>
      <c r="B696" t="s">
        <v>933</v>
      </c>
      <c r="C696" t="str">
        <f t="shared" si="20"/>
        <v>May</v>
      </c>
      <c r="D696">
        <f t="shared" si="21"/>
        <v>2024</v>
      </c>
      <c r="E696" t="s">
        <v>722</v>
      </c>
      <c r="F696" t="s">
        <v>585</v>
      </c>
      <c r="G696" t="s">
        <v>46</v>
      </c>
      <c r="H696" t="s">
        <v>38</v>
      </c>
      <c r="I696" t="s">
        <v>130</v>
      </c>
      <c r="J696">
        <v>985</v>
      </c>
      <c r="K696">
        <v>1</v>
      </c>
      <c r="L696">
        <v>985</v>
      </c>
      <c r="M696" t="s">
        <v>30</v>
      </c>
      <c r="N696" t="s">
        <v>40</v>
      </c>
      <c r="O696" t="s">
        <v>32</v>
      </c>
      <c r="P696">
        <v>24</v>
      </c>
    </row>
    <row r="697" spans="1:16" x14ac:dyDescent="0.3">
      <c r="A697" t="s">
        <v>1912</v>
      </c>
      <c r="B697" t="s">
        <v>319</v>
      </c>
      <c r="C697" t="str">
        <f t="shared" si="20"/>
        <v>February</v>
      </c>
      <c r="D697">
        <f t="shared" si="21"/>
        <v>2024</v>
      </c>
      <c r="E697" t="s">
        <v>1913</v>
      </c>
      <c r="F697" t="s">
        <v>1055</v>
      </c>
      <c r="G697" t="s">
        <v>20</v>
      </c>
      <c r="H697" t="s">
        <v>71</v>
      </c>
      <c r="I697" t="s">
        <v>119</v>
      </c>
      <c r="J697">
        <v>837</v>
      </c>
      <c r="K697">
        <v>1</v>
      </c>
      <c r="L697">
        <v>837</v>
      </c>
      <c r="M697" t="s">
        <v>23</v>
      </c>
      <c r="N697" t="s">
        <v>24</v>
      </c>
      <c r="O697" t="s">
        <v>55</v>
      </c>
      <c r="P697">
        <v>0</v>
      </c>
    </row>
    <row r="698" spans="1:16" x14ac:dyDescent="0.3">
      <c r="A698" t="s">
        <v>1914</v>
      </c>
      <c r="B698" t="s">
        <v>363</v>
      </c>
      <c r="C698" t="str">
        <f t="shared" si="20"/>
        <v>January</v>
      </c>
      <c r="D698">
        <f t="shared" si="21"/>
        <v>2025</v>
      </c>
      <c r="E698" t="s">
        <v>1915</v>
      </c>
      <c r="F698" t="s">
        <v>527</v>
      </c>
      <c r="G698" t="s">
        <v>37</v>
      </c>
      <c r="H698" t="s">
        <v>38</v>
      </c>
      <c r="I698" t="s">
        <v>130</v>
      </c>
      <c r="J698">
        <v>1456</v>
      </c>
      <c r="K698">
        <v>4</v>
      </c>
      <c r="L698">
        <v>5824</v>
      </c>
      <c r="M698" t="s">
        <v>61</v>
      </c>
      <c r="N698" t="s">
        <v>40</v>
      </c>
      <c r="O698" t="s">
        <v>84</v>
      </c>
      <c r="P698">
        <v>26</v>
      </c>
    </row>
    <row r="699" spans="1:16" x14ac:dyDescent="0.3">
      <c r="A699" t="s">
        <v>1916</v>
      </c>
      <c r="B699" t="s">
        <v>948</v>
      </c>
      <c r="C699" t="str">
        <f t="shared" si="20"/>
        <v>March</v>
      </c>
      <c r="D699">
        <f t="shared" si="21"/>
        <v>2025</v>
      </c>
      <c r="E699" t="s">
        <v>1917</v>
      </c>
      <c r="F699" t="s">
        <v>850</v>
      </c>
      <c r="G699" t="s">
        <v>20</v>
      </c>
      <c r="H699" t="s">
        <v>38</v>
      </c>
      <c r="I699" t="s">
        <v>325</v>
      </c>
      <c r="J699">
        <v>464</v>
      </c>
      <c r="K699">
        <v>2</v>
      </c>
      <c r="L699">
        <v>928</v>
      </c>
      <c r="M699" t="s">
        <v>30</v>
      </c>
      <c r="N699" t="s">
        <v>31</v>
      </c>
      <c r="O699" t="s">
        <v>32</v>
      </c>
      <c r="P699">
        <v>16</v>
      </c>
    </row>
    <row r="700" spans="1:16" x14ac:dyDescent="0.3">
      <c r="A700" t="s">
        <v>1918</v>
      </c>
      <c r="B700" t="s">
        <v>990</v>
      </c>
      <c r="C700" t="str">
        <f t="shared" si="20"/>
        <v>September</v>
      </c>
      <c r="D700">
        <f t="shared" si="21"/>
        <v>2024</v>
      </c>
      <c r="E700" t="s">
        <v>458</v>
      </c>
      <c r="F700" t="s">
        <v>267</v>
      </c>
      <c r="G700" t="s">
        <v>20</v>
      </c>
      <c r="H700" t="s">
        <v>38</v>
      </c>
      <c r="I700" t="s">
        <v>39</v>
      </c>
      <c r="J700">
        <v>494</v>
      </c>
      <c r="K700">
        <v>2</v>
      </c>
      <c r="L700">
        <v>988</v>
      </c>
      <c r="M700" t="s">
        <v>30</v>
      </c>
      <c r="N700" t="s">
        <v>31</v>
      </c>
      <c r="O700" t="s">
        <v>125</v>
      </c>
      <c r="P700">
        <v>30</v>
      </c>
    </row>
    <row r="701" spans="1:16" x14ac:dyDescent="0.3">
      <c r="A701" t="s">
        <v>1919</v>
      </c>
      <c r="B701" t="s">
        <v>480</v>
      </c>
      <c r="C701" t="str">
        <f t="shared" si="20"/>
        <v>November</v>
      </c>
      <c r="D701">
        <f t="shared" si="21"/>
        <v>2024</v>
      </c>
      <c r="E701" t="s">
        <v>1920</v>
      </c>
      <c r="F701" t="s">
        <v>591</v>
      </c>
      <c r="G701" t="s">
        <v>20</v>
      </c>
      <c r="H701" t="s">
        <v>21</v>
      </c>
      <c r="I701" t="s">
        <v>77</v>
      </c>
      <c r="J701">
        <v>317</v>
      </c>
      <c r="K701">
        <v>3</v>
      </c>
      <c r="L701">
        <v>951</v>
      </c>
      <c r="M701" t="s">
        <v>138</v>
      </c>
      <c r="N701" t="s">
        <v>31</v>
      </c>
      <c r="O701" t="s">
        <v>32</v>
      </c>
      <c r="P701">
        <v>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6FB5-2C94-4EA6-87C9-A76214E467B7}">
  <dimension ref="A1:Q35"/>
  <sheetViews>
    <sheetView topLeftCell="A76" workbookViewId="0">
      <selection activeCell="H62" sqref="H62"/>
    </sheetView>
  </sheetViews>
  <sheetFormatPr defaultRowHeight="14.4" x14ac:dyDescent="0.3"/>
  <cols>
    <col min="1" max="1" width="16.109375" bestFit="1" customWidth="1"/>
    <col min="2" max="2" width="14.21875" bestFit="1" customWidth="1"/>
    <col min="4" max="4" width="12.5546875" bestFit="1" customWidth="1"/>
    <col min="5" max="5" width="14.21875" bestFit="1" customWidth="1"/>
    <col min="6" max="6" width="16" bestFit="1" customWidth="1"/>
    <col min="8" max="8" width="12.5546875" bestFit="1" customWidth="1"/>
    <col min="9" max="9" width="14.21875" bestFit="1" customWidth="1"/>
    <col min="10" max="10" width="16" bestFit="1" customWidth="1"/>
    <col min="11" max="11" width="12.5546875" bestFit="1" customWidth="1"/>
    <col min="12" max="12" width="14.21875" bestFit="1" customWidth="1"/>
    <col min="13" max="13" width="16" bestFit="1" customWidth="1"/>
    <col min="15" max="15" width="12.5546875" bestFit="1" customWidth="1"/>
    <col min="16" max="16" width="14.21875" bestFit="1" customWidth="1"/>
    <col min="17" max="17" width="16" bestFit="1" customWidth="1"/>
  </cols>
  <sheetData>
    <row r="1" spans="1:17" x14ac:dyDescent="0.3">
      <c r="A1" s="2" t="s">
        <v>7</v>
      </c>
      <c r="B1" t="s">
        <v>38</v>
      </c>
      <c r="D1" s="2" t="s">
        <v>7</v>
      </c>
      <c r="E1" t="s">
        <v>38</v>
      </c>
      <c r="H1" s="2" t="s">
        <v>7</v>
      </c>
      <c r="I1" t="s">
        <v>38</v>
      </c>
      <c r="K1" s="2" t="s">
        <v>7</v>
      </c>
      <c r="L1" t="s">
        <v>38</v>
      </c>
      <c r="O1" s="2" t="s">
        <v>7</v>
      </c>
      <c r="P1" t="s">
        <v>38</v>
      </c>
    </row>
    <row r="3" spans="1:17" x14ac:dyDescent="0.3">
      <c r="A3" s="2" t="s">
        <v>1921</v>
      </c>
      <c r="B3" t="s">
        <v>1924</v>
      </c>
      <c r="D3" s="2" t="s">
        <v>1921</v>
      </c>
      <c r="E3" t="s">
        <v>1924</v>
      </c>
      <c r="F3" t="s">
        <v>1925</v>
      </c>
      <c r="H3" s="2" t="s">
        <v>1921</v>
      </c>
      <c r="I3" t="s">
        <v>1924</v>
      </c>
      <c r="K3" s="2" t="s">
        <v>1921</v>
      </c>
      <c r="L3" t="s">
        <v>1924</v>
      </c>
      <c r="M3" t="s">
        <v>1925</v>
      </c>
      <c r="O3" s="2" t="s">
        <v>1921</v>
      </c>
      <c r="P3" t="s">
        <v>1924</v>
      </c>
      <c r="Q3" t="s">
        <v>1925</v>
      </c>
    </row>
    <row r="4" spans="1:17" x14ac:dyDescent="0.3">
      <c r="A4" s="3" t="s">
        <v>47</v>
      </c>
      <c r="B4">
        <v>206699</v>
      </c>
      <c r="D4" s="3" t="s">
        <v>62</v>
      </c>
      <c r="E4">
        <v>104282</v>
      </c>
      <c r="F4">
        <v>41</v>
      </c>
      <c r="H4" s="3" t="s">
        <v>1926</v>
      </c>
      <c r="I4">
        <v>55517</v>
      </c>
      <c r="K4" s="3">
        <v>0</v>
      </c>
      <c r="L4">
        <v>17925</v>
      </c>
      <c r="M4">
        <v>6</v>
      </c>
      <c r="O4" s="3" t="s">
        <v>40</v>
      </c>
      <c r="P4">
        <v>182703</v>
      </c>
      <c r="Q4">
        <v>69</v>
      </c>
    </row>
    <row r="5" spans="1:17" x14ac:dyDescent="0.3">
      <c r="A5" s="3" t="s">
        <v>39</v>
      </c>
      <c r="B5">
        <v>155430</v>
      </c>
      <c r="D5" s="3" t="s">
        <v>25</v>
      </c>
      <c r="E5">
        <v>83697</v>
      </c>
      <c r="F5">
        <v>30</v>
      </c>
      <c r="H5" s="3" t="s">
        <v>1927</v>
      </c>
      <c r="I5">
        <v>73214</v>
      </c>
      <c r="K5" s="3">
        <v>1</v>
      </c>
      <c r="L5">
        <v>11663</v>
      </c>
      <c r="M5">
        <v>5</v>
      </c>
      <c r="O5" s="3" t="s">
        <v>48</v>
      </c>
      <c r="P5">
        <v>128341</v>
      </c>
      <c r="Q5">
        <v>55</v>
      </c>
    </row>
    <row r="6" spans="1:17" x14ac:dyDescent="0.3">
      <c r="A6" s="3" t="s">
        <v>60</v>
      </c>
      <c r="B6">
        <v>87469</v>
      </c>
      <c r="D6" s="3" t="s">
        <v>78</v>
      </c>
      <c r="E6">
        <v>56376</v>
      </c>
      <c r="F6">
        <v>28</v>
      </c>
      <c r="H6" s="3" t="s">
        <v>1928</v>
      </c>
      <c r="I6">
        <v>56844</v>
      </c>
      <c r="K6" s="3">
        <v>2</v>
      </c>
      <c r="L6">
        <v>19748</v>
      </c>
      <c r="M6">
        <v>6</v>
      </c>
      <c r="O6" s="3" t="s">
        <v>24</v>
      </c>
      <c r="P6">
        <v>169031</v>
      </c>
      <c r="Q6">
        <v>60</v>
      </c>
    </row>
    <row r="7" spans="1:17" x14ac:dyDescent="0.3">
      <c r="A7" s="3" t="s">
        <v>325</v>
      </c>
      <c r="B7">
        <v>101782</v>
      </c>
      <c r="D7" s="3" t="s">
        <v>84</v>
      </c>
      <c r="E7">
        <v>88049</v>
      </c>
      <c r="F7">
        <v>29</v>
      </c>
      <c r="H7" s="3" t="s">
        <v>1929</v>
      </c>
      <c r="I7">
        <v>83185</v>
      </c>
      <c r="K7" s="3">
        <v>3</v>
      </c>
      <c r="L7">
        <v>19723</v>
      </c>
      <c r="M7">
        <v>8</v>
      </c>
      <c r="O7" s="3" t="s">
        <v>31</v>
      </c>
      <c r="P7">
        <v>172281</v>
      </c>
      <c r="Q7">
        <v>60</v>
      </c>
    </row>
    <row r="8" spans="1:17" x14ac:dyDescent="0.3">
      <c r="A8" s="3" t="s">
        <v>130</v>
      </c>
      <c r="B8">
        <v>100976</v>
      </c>
      <c r="D8" s="3" t="s">
        <v>125</v>
      </c>
      <c r="E8">
        <v>62380</v>
      </c>
      <c r="F8">
        <v>24</v>
      </c>
      <c r="H8" s="3" t="s">
        <v>1930</v>
      </c>
      <c r="I8">
        <v>81256</v>
      </c>
      <c r="K8" s="3">
        <v>4</v>
      </c>
      <c r="L8">
        <v>15689</v>
      </c>
      <c r="M8">
        <v>9</v>
      </c>
      <c r="O8" s="3" t="s">
        <v>1922</v>
      </c>
      <c r="P8">
        <v>652356</v>
      </c>
      <c r="Q8">
        <v>244</v>
      </c>
    </row>
    <row r="9" spans="1:17" x14ac:dyDescent="0.3">
      <c r="A9" s="3" t="s">
        <v>1922</v>
      </c>
      <c r="B9">
        <v>652356</v>
      </c>
      <c r="D9" s="3" t="s">
        <v>32</v>
      </c>
      <c r="E9">
        <v>85066</v>
      </c>
      <c r="F9">
        <v>32</v>
      </c>
      <c r="H9" s="3" t="s">
        <v>1931</v>
      </c>
      <c r="I9">
        <v>42211</v>
      </c>
      <c r="K9" s="3">
        <v>5</v>
      </c>
      <c r="L9">
        <v>24108</v>
      </c>
      <c r="M9">
        <v>9</v>
      </c>
    </row>
    <row r="10" spans="1:17" x14ac:dyDescent="0.3">
      <c r="D10" s="3" t="s">
        <v>55</v>
      </c>
      <c r="E10">
        <v>101125</v>
      </c>
      <c r="F10">
        <v>34</v>
      </c>
      <c r="H10" s="3" t="s">
        <v>1932</v>
      </c>
      <c r="I10">
        <v>48647</v>
      </c>
      <c r="K10" s="3">
        <v>6</v>
      </c>
      <c r="L10">
        <v>6856</v>
      </c>
      <c r="M10">
        <v>4</v>
      </c>
    </row>
    <row r="11" spans="1:17" x14ac:dyDescent="0.3">
      <c r="D11" s="3" t="s">
        <v>41</v>
      </c>
      <c r="E11">
        <v>71381</v>
      </c>
      <c r="F11">
        <v>26</v>
      </c>
      <c r="H11" s="3" t="s">
        <v>1933</v>
      </c>
      <c r="I11">
        <v>64444</v>
      </c>
      <c r="K11" s="3">
        <v>7</v>
      </c>
      <c r="L11">
        <v>31324</v>
      </c>
      <c r="M11">
        <v>11</v>
      </c>
    </row>
    <row r="12" spans="1:17" x14ac:dyDescent="0.3">
      <c r="D12" s="3" t="s">
        <v>1922</v>
      </c>
      <c r="E12">
        <v>652356</v>
      </c>
      <c r="F12">
        <v>244</v>
      </c>
      <c r="H12" s="3" t="s">
        <v>1934</v>
      </c>
      <c r="I12">
        <v>32394</v>
      </c>
      <c r="K12" s="3">
        <v>8</v>
      </c>
      <c r="L12">
        <v>16844</v>
      </c>
      <c r="M12">
        <v>7</v>
      </c>
    </row>
    <row r="13" spans="1:17" x14ac:dyDescent="0.3">
      <c r="H13" s="3" t="s">
        <v>1935</v>
      </c>
      <c r="I13">
        <v>31814</v>
      </c>
      <c r="K13" s="3">
        <v>9</v>
      </c>
      <c r="L13">
        <v>22580</v>
      </c>
      <c r="M13">
        <v>10</v>
      </c>
    </row>
    <row r="14" spans="1:17" x14ac:dyDescent="0.3">
      <c r="H14" s="3" t="s">
        <v>1936</v>
      </c>
      <c r="I14">
        <v>34575</v>
      </c>
      <c r="K14" s="3">
        <v>10</v>
      </c>
      <c r="L14">
        <v>26769</v>
      </c>
      <c r="M14">
        <v>10</v>
      </c>
    </row>
    <row r="15" spans="1:17" x14ac:dyDescent="0.3">
      <c r="H15" s="3" t="s">
        <v>1937</v>
      </c>
      <c r="I15">
        <v>48255</v>
      </c>
      <c r="K15" s="3">
        <v>11</v>
      </c>
      <c r="L15">
        <v>23745</v>
      </c>
      <c r="M15">
        <v>7</v>
      </c>
    </row>
    <row r="16" spans="1:17" x14ac:dyDescent="0.3">
      <c r="H16" s="3" t="s">
        <v>1922</v>
      </c>
      <c r="I16">
        <v>652356</v>
      </c>
      <c r="K16" s="3">
        <v>12</v>
      </c>
      <c r="L16">
        <v>25399</v>
      </c>
      <c r="M16">
        <v>7</v>
      </c>
    </row>
    <row r="17" spans="11:13" x14ac:dyDescent="0.3">
      <c r="K17" s="3">
        <v>13</v>
      </c>
      <c r="L17">
        <v>23626</v>
      </c>
      <c r="M17">
        <v>8</v>
      </c>
    </row>
    <row r="18" spans="11:13" x14ac:dyDescent="0.3">
      <c r="K18" s="3">
        <v>14</v>
      </c>
      <c r="L18">
        <v>22025</v>
      </c>
      <c r="M18">
        <v>9</v>
      </c>
    </row>
    <row r="19" spans="11:13" x14ac:dyDescent="0.3">
      <c r="K19" s="3">
        <v>15</v>
      </c>
      <c r="L19">
        <v>16957</v>
      </c>
      <c r="M19">
        <v>7</v>
      </c>
    </row>
    <row r="20" spans="11:13" x14ac:dyDescent="0.3">
      <c r="K20" s="3">
        <v>16</v>
      </c>
      <c r="L20">
        <v>22941</v>
      </c>
      <c r="M20">
        <v>11</v>
      </c>
    </row>
    <row r="21" spans="11:13" x14ac:dyDescent="0.3">
      <c r="K21" s="3">
        <v>17</v>
      </c>
      <c r="L21">
        <v>14516</v>
      </c>
      <c r="M21">
        <v>5</v>
      </c>
    </row>
    <row r="22" spans="11:13" x14ac:dyDescent="0.3">
      <c r="K22" s="3">
        <v>18</v>
      </c>
      <c r="L22">
        <v>19708</v>
      </c>
      <c r="M22">
        <v>7</v>
      </c>
    </row>
    <row r="23" spans="11:13" x14ac:dyDescent="0.3">
      <c r="K23" s="3">
        <v>19</v>
      </c>
      <c r="L23">
        <v>8637</v>
      </c>
      <c r="M23">
        <v>4</v>
      </c>
    </row>
    <row r="24" spans="11:13" x14ac:dyDescent="0.3">
      <c r="K24" s="3">
        <v>20</v>
      </c>
      <c r="L24">
        <v>24895</v>
      </c>
      <c r="M24">
        <v>8</v>
      </c>
    </row>
    <row r="25" spans="11:13" x14ac:dyDescent="0.3">
      <c r="K25" s="3">
        <v>21</v>
      </c>
      <c r="L25">
        <v>41394</v>
      </c>
      <c r="M25">
        <v>14</v>
      </c>
    </row>
    <row r="26" spans="11:13" x14ac:dyDescent="0.3">
      <c r="K26" s="3">
        <v>22</v>
      </c>
      <c r="L26">
        <v>19674</v>
      </c>
      <c r="M26">
        <v>8</v>
      </c>
    </row>
    <row r="27" spans="11:13" x14ac:dyDescent="0.3">
      <c r="K27" s="3">
        <v>23</v>
      </c>
      <c r="L27">
        <v>25738</v>
      </c>
      <c r="M27">
        <v>9</v>
      </c>
    </row>
    <row r="28" spans="11:13" x14ac:dyDescent="0.3">
      <c r="K28" s="3">
        <v>24</v>
      </c>
      <c r="L28">
        <v>9451</v>
      </c>
      <c r="M28">
        <v>5</v>
      </c>
    </row>
    <row r="29" spans="11:13" x14ac:dyDescent="0.3">
      <c r="K29" s="3">
        <v>25</v>
      </c>
      <c r="L29">
        <v>29365</v>
      </c>
      <c r="M29">
        <v>8</v>
      </c>
    </row>
    <row r="30" spans="11:13" x14ac:dyDescent="0.3">
      <c r="K30" s="3">
        <v>26</v>
      </c>
      <c r="L30">
        <v>35250</v>
      </c>
      <c r="M30">
        <v>13</v>
      </c>
    </row>
    <row r="31" spans="11:13" x14ac:dyDescent="0.3">
      <c r="K31" s="3">
        <v>27</v>
      </c>
      <c r="L31">
        <v>16579</v>
      </c>
      <c r="M31">
        <v>7</v>
      </c>
    </row>
    <row r="32" spans="11:13" x14ac:dyDescent="0.3">
      <c r="K32" s="3">
        <v>28</v>
      </c>
      <c r="L32">
        <v>24904</v>
      </c>
      <c r="M32">
        <v>10</v>
      </c>
    </row>
    <row r="33" spans="11:13" x14ac:dyDescent="0.3">
      <c r="K33" s="3">
        <v>29</v>
      </c>
      <c r="L33">
        <v>15313</v>
      </c>
      <c r="M33">
        <v>7</v>
      </c>
    </row>
    <row r="34" spans="11:13" x14ac:dyDescent="0.3">
      <c r="K34" s="3">
        <v>30</v>
      </c>
      <c r="L34">
        <v>19010</v>
      </c>
      <c r="M34">
        <v>5</v>
      </c>
    </row>
    <row r="35" spans="11:13" x14ac:dyDescent="0.3">
      <c r="K35" s="3" t="s">
        <v>1922</v>
      </c>
      <c r="L35">
        <v>652356</v>
      </c>
      <c r="M35">
        <v>244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9589F-9714-470B-BB30-2EC0C96BCEC2}">
  <dimension ref="A1:Q35"/>
  <sheetViews>
    <sheetView topLeftCell="A55" workbookViewId="0">
      <selection activeCell="H116" sqref="H116"/>
    </sheetView>
  </sheetViews>
  <sheetFormatPr defaultRowHeight="14.4" x14ac:dyDescent="0.3"/>
  <cols>
    <col min="1" max="1" width="15.88671875" bestFit="1" customWidth="1"/>
    <col min="2" max="2" width="14.21875" bestFit="1" customWidth="1"/>
    <col min="4" max="4" width="12.5546875" bestFit="1" customWidth="1"/>
    <col min="5" max="5" width="14.21875" bestFit="1" customWidth="1"/>
    <col min="6" max="6" width="16" bestFit="1" customWidth="1"/>
    <col min="8" max="8" width="12.5546875" bestFit="1" customWidth="1"/>
    <col min="9" max="9" width="14.21875" bestFit="1" customWidth="1"/>
    <col min="11" max="11" width="12.5546875" bestFit="1" customWidth="1"/>
    <col min="12" max="12" width="14.21875" bestFit="1" customWidth="1"/>
    <col min="13" max="13" width="16" bestFit="1" customWidth="1"/>
    <col min="15" max="15" width="12.5546875" bestFit="1" customWidth="1"/>
    <col min="16" max="16" width="14.21875" bestFit="1" customWidth="1"/>
    <col min="17" max="17" width="16" bestFit="1" customWidth="1"/>
  </cols>
  <sheetData>
    <row r="1" spans="1:17" x14ac:dyDescent="0.3">
      <c r="A1" s="2" t="s">
        <v>7</v>
      </c>
      <c r="B1" t="s">
        <v>21</v>
      </c>
      <c r="D1" s="2" t="s">
        <v>7</v>
      </c>
      <c r="E1" t="s">
        <v>21</v>
      </c>
      <c r="H1" s="2" t="s">
        <v>7</v>
      </c>
      <c r="I1" t="s">
        <v>21</v>
      </c>
      <c r="K1" s="2" t="s">
        <v>7</v>
      </c>
      <c r="L1" t="s">
        <v>21</v>
      </c>
      <c r="O1" s="2" t="s">
        <v>7</v>
      </c>
      <c r="P1" t="s">
        <v>21</v>
      </c>
    </row>
    <row r="3" spans="1:17" x14ac:dyDescent="0.3">
      <c r="A3" s="2" t="s">
        <v>1921</v>
      </c>
      <c r="B3" t="s">
        <v>1924</v>
      </c>
      <c r="D3" s="2" t="s">
        <v>1921</v>
      </c>
      <c r="E3" t="s">
        <v>1924</v>
      </c>
      <c r="F3" t="s">
        <v>1925</v>
      </c>
      <c r="H3" s="2" t="s">
        <v>1921</v>
      </c>
      <c r="I3" t="s">
        <v>1924</v>
      </c>
      <c r="K3" s="2" t="s">
        <v>1921</v>
      </c>
      <c r="L3" t="s">
        <v>1924</v>
      </c>
      <c r="M3" t="s">
        <v>1925</v>
      </c>
      <c r="O3" s="2" t="s">
        <v>1921</v>
      </c>
      <c r="P3" t="s">
        <v>1924</v>
      </c>
      <c r="Q3" t="s">
        <v>1925</v>
      </c>
    </row>
    <row r="4" spans="1:17" x14ac:dyDescent="0.3">
      <c r="A4" s="3" t="s">
        <v>77</v>
      </c>
      <c r="B4">
        <v>137002</v>
      </c>
      <c r="D4" s="3" t="s">
        <v>62</v>
      </c>
      <c r="E4">
        <v>38497</v>
      </c>
      <c r="F4">
        <v>14</v>
      </c>
      <c r="H4" s="3" t="s">
        <v>1926</v>
      </c>
      <c r="I4">
        <v>54496</v>
      </c>
      <c r="K4" s="3">
        <v>0</v>
      </c>
      <c r="L4">
        <v>4254</v>
      </c>
      <c r="M4">
        <v>2</v>
      </c>
      <c r="O4" s="3" t="s">
        <v>40</v>
      </c>
      <c r="P4">
        <v>160742</v>
      </c>
      <c r="Q4">
        <v>58</v>
      </c>
    </row>
    <row r="5" spans="1:17" x14ac:dyDescent="0.3">
      <c r="A5" s="3" t="s">
        <v>53</v>
      </c>
      <c r="B5">
        <v>144058</v>
      </c>
      <c r="D5" s="3" t="s">
        <v>25</v>
      </c>
      <c r="E5">
        <v>68921</v>
      </c>
      <c r="F5">
        <v>31</v>
      </c>
      <c r="H5" s="3" t="s">
        <v>1927</v>
      </c>
      <c r="I5">
        <v>43988</v>
      </c>
      <c r="K5" s="3">
        <v>1</v>
      </c>
      <c r="L5">
        <v>3915</v>
      </c>
      <c r="M5">
        <v>3</v>
      </c>
      <c r="O5" s="3" t="s">
        <v>48</v>
      </c>
      <c r="P5">
        <v>118327</v>
      </c>
      <c r="Q5">
        <v>54</v>
      </c>
    </row>
    <row r="6" spans="1:17" x14ac:dyDescent="0.3">
      <c r="A6" s="3" t="s">
        <v>109</v>
      </c>
      <c r="B6">
        <v>114338</v>
      </c>
      <c r="D6" s="3" t="s">
        <v>78</v>
      </c>
      <c r="E6">
        <v>74526</v>
      </c>
      <c r="F6">
        <v>27</v>
      </c>
      <c r="H6" s="3" t="s">
        <v>1928</v>
      </c>
      <c r="I6">
        <v>75123</v>
      </c>
      <c r="K6" s="3">
        <v>2</v>
      </c>
      <c r="L6">
        <v>19215</v>
      </c>
      <c r="M6">
        <v>9</v>
      </c>
      <c r="O6" s="3" t="s">
        <v>24</v>
      </c>
      <c r="P6">
        <v>151108</v>
      </c>
      <c r="Q6">
        <v>60</v>
      </c>
    </row>
    <row r="7" spans="1:17" x14ac:dyDescent="0.3">
      <c r="A7" s="3" t="s">
        <v>22</v>
      </c>
      <c r="B7">
        <v>82409</v>
      </c>
      <c r="D7" s="3" t="s">
        <v>84</v>
      </c>
      <c r="E7">
        <v>76843</v>
      </c>
      <c r="F7">
        <v>33</v>
      </c>
      <c r="H7" s="3" t="s">
        <v>1929</v>
      </c>
      <c r="I7">
        <v>56640</v>
      </c>
      <c r="K7" s="3">
        <v>3</v>
      </c>
      <c r="L7">
        <v>29443</v>
      </c>
      <c r="M7">
        <v>11</v>
      </c>
      <c r="O7" s="3" t="s">
        <v>31</v>
      </c>
      <c r="P7">
        <v>143947</v>
      </c>
      <c r="Q7">
        <v>56</v>
      </c>
    </row>
    <row r="8" spans="1:17" x14ac:dyDescent="0.3">
      <c r="A8" s="3" t="s">
        <v>114</v>
      </c>
      <c r="B8">
        <v>96317</v>
      </c>
      <c r="D8" s="3" t="s">
        <v>125</v>
      </c>
      <c r="E8">
        <v>67535</v>
      </c>
      <c r="F8">
        <v>32</v>
      </c>
      <c r="H8" s="3" t="s">
        <v>1930</v>
      </c>
      <c r="I8">
        <v>29652</v>
      </c>
      <c r="K8" s="3">
        <v>4</v>
      </c>
      <c r="L8">
        <v>13019</v>
      </c>
      <c r="M8">
        <v>5</v>
      </c>
      <c r="O8" s="3" t="s">
        <v>1922</v>
      </c>
      <c r="P8">
        <v>574124</v>
      </c>
      <c r="Q8">
        <v>228</v>
      </c>
    </row>
    <row r="9" spans="1:17" x14ac:dyDescent="0.3">
      <c r="A9" s="3" t="s">
        <v>1922</v>
      </c>
      <c r="B9">
        <v>574124</v>
      </c>
      <c r="D9" s="3" t="s">
        <v>32</v>
      </c>
      <c r="E9">
        <v>102113</v>
      </c>
      <c r="F9">
        <v>36</v>
      </c>
      <c r="H9" s="3" t="s">
        <v>1931</v>
      </c>
      <c r="I9">
        <v>79562</v>
      </c>
      <c r="K9" s="3">
        <v>5</v>
      </c>
      <c r="L9">
        <v>12509</v>
      </c>
      <c r="M9">
        <v>6</v>
      </c>
    </row>
    <row r="10" spans="1:17" x14ac:dyDescent="0.3">
      <c r="D10" s="3" t="s">
        <v>55</v>
      </c>
      <c r="E10">
        <v>62145</v>
      </c>
      <c r="F10">
        <v>27</v>
      </c>
      <c r="H10" s="3" t="s">
        <v>1932</v>
      </c>
      <c r="I10">
        <v>65775</v>
      </c>
      <c r="K10" s="3">
        <v>6</v>
      </c>
      <c r="L10">
        <v>29205</v>
      </c>
      <c r="M10">
        <v>12</v>
      </c>
    </row>
    <row r="11" spans="1:17" x14ac:dyDescent="0.3">
      <c r="D11" s="3" t="s">
        <v>41</v>
      </c>
      <c r="E11">
        <v>83544</v>
      </c>
      <c r="F11">
        <v>28</v>
      </c>
      <c r="H11" s="3" t="s">
        <v>1933</v>
      </c>
      <c r="I11">
        <v>44865</v>
      </c>
      <c r="K11" s="3">
        <v>7</v>
      </c>
      <c r="L11">
        <v>15497</v>
      </c>
      <c r="M11">
        <v>8</v>
      </c>
    </row>
    <row r="12" spans="1:17" x14ac:dyDescent="0.3">
      <c r="D12" s="3" t="s">
        <v>1922</v>
      </c>
      <c r="E12">
        <v>574124</v>
      </c>
      <c r="F12">
        <v>228</v>
      </c>
      <c r="H12" s="3" t="s">
        <v>1934</v>
      </c>
      <c r="I12">
        <v>27505</v>
      </c>
      <c r="K12" s="3">
        <v>8</v>
      </c>
      <c r="L12">
        <v>16069</v>
      </c>
      <c r="M12">
        <v>4</v>
      </c>
    </row>
    <row r="13" spans="1:17" x14ac:dyDescent="0.3">
      <c r="H13" s="3" t="s">
        <v>1935</v>
      </c>
      <c r="I13">
        <v>26073</v>
      </c>
      <c r="K13" s="3">
        <v>9</v>
      </c>
      <c r="L13">
        <v>4283</v>
      </c>
      <c r="M13">
        <v>4</v>
      </c>
    </row>
    <row r="14" spans="1:17" x14ac:dyDescent="0.3">
      <c r="H14" s="3" t="s">
        <v>1936</v>
      </c>
      <c r="I14">
        <v>28894</v>
      </c>
      <c r="K14" s="3">
        <v>10</v>
      </c>
      <c r="L14">
        <v>13190</v>
      </c>
      <c r="M14">
        <v>6</v>
      </c>
    </row>
    <row r="15" spans="1:17" x14ac:dyDescent="0.3">
      <c r="H15" s="3" t="s">
        <v>1937</v>
      </c>
      <c r="I15">
        <v>41551</v>
      </c>
      <c r="K15" s="3">
        <v>11</v>
      </c>
      <c r="L15">
        <v>18741</v>
      </c>
      <c r="M15">
        <v>9</v>
      </c>
    </row>
    <row r="16" spans="1:17" x14ac:dyDescent="0.3">
      <c r="H16" s="3" t="s">
        <v>1922</v>
      </c>
      <c r="I16">
        <v>574124</v>
      </c>
      <c r="K16" s="3">
        <v>12</v>
      </c>
      <c r="L16">
        <v>24376</v>
      </c>
      <c r="M16">
        <v>7</v>
      </c>
    </row>
    <row r="17" spans="11:13" x14ac:dyDescent="0.3">
      <c r="K17" s="3">
        <v>13</v>
      </c>
      <c r="L17">
        <v>27480</v>
      </c>
      <c r="M17">
        <v>10</v>
      </c>
    </row>
    <row r="18" spans="11:13" x14ac:dyDescent="0.3">
      <c r="K18" s="3">
        <v>14</v>
      </c>
      <c r="L18">
        <v>41694</v>
      </c>
      <c r="M18">
        <v>10</v>
      </c>
    </row>
    <row r="19" spans="11:13" x14ac:dyDescent="0.3">
      <c r="K19" s="3">
        <v>15</v>
      </c>
      <c r="L19">
        <v>26145</v>
      </c>
      <c r="M19">
        <v>12</v>
      </c>
    </row>
    <row r="20" spans="11:13" x14ac:dyDescent="0.3">
      <c r="K20" s="3">
        <v>16</v>
      </c>
      <c r="L20">
        <v>17210</v>
      </c>
      <c r="M20">
        <v>7</v>
      </c>
    </row>
    <row r="21" spans="11:13" x14ac:dyDescent="0.3">
      <c r="K21" s="3">
        <v>17</v>
      </c>
      <c r="L21">
        <v>18714</v>
      </c>
      <c r="M21">
        <v>8</v>
      </c>
    </row>
    <row r="22" spans="11:13" x14ac:dyDescent="0.3">
      <c r="K22" s="3">
        <v>18</v>
      </c>
      <c r="L22">
        <v>6893</v>
      </c>
      <c r="M22">
        <v>3</v>
      </c>
    </row>
    <row r="23" spans="11:13" x14ac:dyDescent="0.3">
      <c r="K23" s="3">
        <v>19</v>
      </c>
      <c r="L23">
        <v>19805</v>
      </c>
      <c r="M23">
        <v>8</v>
      </c>
    </row>
    <row r="24" spans="11:13" x14ac:dyDescent="0.3">
      <c r="K24" s="3">
        <v>20</v>
      </c>
      <c r="L24">
        <v>13915</v>
      </c>
      <c r="M24">
        <v>3</v>
      </c>
    </row>
    <row r="25" spans="11:13" x14ac:dyDescent="0.3">
      <c r="K25" s="3">
        <v>21</v>
      </c>
      <c r="L25">
        <v>19845</v>
      </c>
      <c r="M25">
        <v>6</v>
      </c>
    </row>
    <row r="26" spans="11:13" x14ac:dyDescent="0.3">
      <c r="K26" s="3">
        <v>22</v>
      </c>
      <c r="L26">
        <v>21200</v>
      </c>
      <c r="M26">
        <v>10</v>
      </c>
    </row>
    <row r="27" spans="11:13" x14ac:dyDescent="0.3">
      <c r="K27" s="3">
        <v>23</v>
      </c>
      <c r="L27">
        <v>12715</v>
      </c>
      <c r="M27">
        <v>4</v>
      </c>
    </row>
    <row r="28" spans="11:13" x14ac:dyDescent="0.3">
      <c r="K28" s="3">
        <v>24</v>
      </c>
      <c r="L28">
        <v>22470</v>
      </c>
      <c r="M28">
        <v>12</v>
      </c>
    </row>
    <row r="29" spans="11:13" x14ac:dyDescent="0.3">
      <c r="K29" s="3">
        <v>25</v>
      </c>
      <c r="L29">
        <v>22417</v>
      </c>
      <c r="M29">
        <v>11</v>
      </c>
    </row>
    <row r="30" spans="11:13" x14ac:dyDescent="0.3">
      <c r="K30" s="3">
        <v>26</v>
      </c>
      <c r="L30">
        <v>9349</v>
      </c>
      <c r="M30">
        <v>5</v>
      </c>
    </row>
    <row r="31" spans="11:13" x14ac:dyDescent="0.3">
      <c r="K31" s="3">
        <v>27</v>
      </c>
      <c r="L31">
        <v>30086</v>
      </c>
      <c r="M31">
        <v>8</v>
      </c>
    </row>
    <row r="32" spans="11:13" x14ac:dyDescent="0.3">
      <c r="K32" s="3">
        <v>28</v>
      </c>
      <c r="L32">
        <v>21820</v>
      </c>
      <c r="M32">
        <v>7</v>
      </c>
    </row>
    <row r="33" spans="11:13" x14ac:dyDescent="0.3">
      <c r="K33" s="3">
        <v>29</v>
      </c>
      <c r="L33">
        <v>10237</v>
      </c>
      <c r="M33">
        <v>5</v>
      </c>
    </row>
    <row r="34" spans="11:13" x14ac:dyDescent="0.3">
      <c r="K34" s="3">
        <v>30</v>
      </c>
      <c r="L34">
        <v>28413</v>
      </c>
      <c r="M34">
        <v>13</v>
      </c>
    </row>
    <row r="35" spans="11:13" x14ac:dyDescent="0.3">
      <c r="K35" s="3" t="s">
        <v>1922</v>
      </c>
      <c r="L35">
        <v>574124</v>
      </c>
      <c r="M35">
        <v>228</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ECEE-FF5A-42DE-84B5-E2F99D419BB2}">
  <dimension ref="A1:Q35"/>
  <sheetViews>
    <sheetView topLeftCell="A54" workbookViewId="0">
      <selection activeCell="I115" sqref="I115"/>
    </sheetView>
  </sheetViews>
  <sheetFormatPr defaultRowHeight="14.4" x14ac:dyDescent="0.3"/>
  <cols>
    <col min="1" max="1" width="15.21875" bestFit="1" customWidth="1"/>
    <col min="2" max="2" width="14.21875" bestFit="1" customWidth="1"/>
    <col min="4" max="4" width="12.5546875" bestFit="1" customWidth="1"/>
    <col min="5" max="5" width="14.21875" bestFit="1" customWidth="1"/>
    <col min="6" max="6" width="16" bestFit="1" customWidth="1"/>
    <col min="8" max="8" width="12.5546875" bestFit="1" customWidth="1"/>
    <col min="9" max="9" width="14.21875" bestFit="1" customWidth="1"/>
    <col min="11" max="11" width="12.5546875" bestFit="1" customWidth="1"/>
    <col min="12" max="12" width="14.21875" bestFit="1" customWidth="1"/>
    <col min="13" max="13" width="16" bestFit="1" customWidth="1"/>
    <col min="15" max="15" width="12.5546875" bestFit="1" customWidth="1"/>
    <col min="16" max="16" width="14.21875" bestFit="1" customWidth="1"/>
    <col min="17" max="17" width="16" bestFit="1" customWidth="1"/>
  </cols>
  <sheetData>
    <row r="1" spans="1:17" x14ac:dyDescent="0.3">
      <c r="A1" s="2" t="s">
        <v>7</v>
      </c>
      <c r="B1" t="s">
        <v>71</v>
      </c>
      <c r="D1" s="2" t="s">
        <v>7</v>
      </c>
      <c r="E1" t="s">
        <v>71</v>
      </c>
      <c r="H1" s="2" t="s">
        <v>7</v>
      </c>
      <c r="I1" t="s">
        <v>71</v>
      </c>
      <c r="K1" s="2" t="s">
        <v>7</v>
      </c>
      <c r="L1" t="s">
        <v>71</v>
      </c>
      <c r="O1" s="2" t="s">
        <v>7</v>
      </c>
      <c r="P1" t="s">
        <v>71</v>
      </c>
    </row>
    <row r="3" spans="1:17" x14ac:dyDescent="0.3">
      <c r="A3" s="2" t="s">
        <v>1921</v>
      </c>
      <c r="B3" t="s">
        <v>1924</v>
      </c>
      <c r="D3" s="2" t="s">
        <v>1921</v>
      </c>
      <c r="E3" t="s">
        <v>1924</v>
      </c>
      <c r="F3" t="s">
        <v>1925</v>
      </c>
      <c r="H3" s="2" t="s">
        <v>1921</v>
      </c>
      <c r="I3" t="s">
        <v>1924</v>
      </c>
      <c r="K3" s="2" t="s">
        <v>1921</v>
      </c>
      <c r="L3" t="s">
        <v>1924</v>
      </c>
      <c r="M3" t="s">
        <v>1925</v>
      </c>
      <c r="O3" s="2" t="s">
        <v>1921</v>
      </c>
      <c r="P3" t="s">
        <v>1924</v>
      </c>
      <c r="Q3" t="s">
        <v>1925</v>
      </c>
    </row>
    <row r="4" spans="1:17" x14ac:dyDescent="0.3">
      <c r="A4" s="3" t="s">
        <v>83</v>
      </c>
      <c r="B4">
        <v>97734</v>
      </c>
      <c r="D4" s="3" t="s">
        <v>62</v>
      </c>
      <c r="E4">
        <v>61863</v>
      </c>
      <c r="F4">
        <v>23</v>
      </c>
      <c r="H4" s="3" t="s">
        <v>1926</v>
      </c>
      <c r="I4">
        <v>40598</v>
      </c>
      <c r="K4" s="3">
        <v>0</v>
      </c>
      <c r="L4">
        <v>17342</v>
      </c>
      <c r="M4">
        <v>10</v>
      </c>
      <c r="O4" s="3" t="s">
        <v>40</v>
      </c>
      <c r="P4">
        <v>121809</v>
      </c>
      <c r="Q4">
        <v>57</v>
      </c>
    </row>
    <row r="5" spans="1:17" x14ac:dyDescent="0.3">
      <c r="A5" s="3" t="s">
        <v>119</v>
      </c>
      <c r="B5">
        <v>90973</v>
      </c>
      <c r="D5" s="3" t="s">
        <v>25</v>
      </c>
      <c r="E5">
        <v>50929</v>
      </c>
      <c r="F5">
        <v>24</v>
      </c>
      <c r="H5" s="3" t="s">
        <v>1927</v>
      </c>
      <c r="I5">
        <v>43403</v>
      </c>
      <c r="K5" s="3">
        <v>1</v>
      </c>
      <c r="L5">
        <v>13713</v>
      </c>
      <c r="M5">
        <v>8</v>
      </c>
      <c r="O5" s="3" t="s">
        <v>48</v>
      </c>
      <c r="P5">
        <v>105093</v>
      </c>
      <c r="Q5">
        <v>49</v>
      </c>
    </row>
    <row r="6" spans="1:17" x14ac:dyDescent="0.3">
      <c r="A6" s="3" t="s">
        <v>72</v>
      </c>
      <c r="B6">
        <v>116409</v>
      </c>
      <c r="D6" s="3" t="s">
        <v>78</v>
      </c>
      <c r="E6">
        <v>66952</v>
      </c>
      <c r="F6">
        <v>26</v>
      </c>
      <c r="H6" s="3" t="s">
        <v>1928</v>
      </c>
      <c r="I6">
        <v>61714</v>
      </c>
      <c r="K6" s="3">
        <v>2</v>
      </c>
      <c r="L6">
        <v>22547</v>
      </c>
      <c r="M6">
        <v>7</v>
      </c>
      <c r="O6" s="3" t="s">
        <v>24</v>
      </c>
      <c r="P6">
        <v>173713</v>
      </c>
      <c r="Q6">
        <v>72</v>
      </c>
    </row>
    <row r="7" spans="1:17" x14ac:dyDescent="0.3">
      <c r="A7" s="3" t="s">
        <v>96</v>
      </c>
      <c r="B7">
        <v>108091</v>
      </c>
      <c r="D7" s="3" t="s">
        <v>84</v>
      </c>
      <c r="E7">
        <v>101439</v>
      </c>
      <c r="F7">
        <v>40</v>
      </c>
      <c r="H7" s="3" t="s">
        <v>1929</v>
      </c>
      <c r="I7">
        <v>67794</v>
      </c>
      <c r="K7" s="3">
        <v>3</v>
      </c>
      <c r="L7">
        <v>17083</v>
      </c>
      <c r="M7">
        <v>7</v>
      </c>
      <c r="O7" s="3" t="s">
        <v>31</v>
      </c>
      <c r="P7">
        <v>134188</v>
      </c>
      <c r="Q7">
        <v>50</v>
      </c>
    </row>
    <row r="8" spans="1:17" x14ac:dyDescent="0.3">
      <c r="A8" s="3" t="s">
        <v>124</v>
      </c>
      <c r="B8">
        <v>121596</v>
      </c>
      <c r="D8" s="3" t="s">
        <v>125</v>
      </c>
      <c r="E8">
        <v>66044</v>
      </c>
      <c r="F8">
        <v>29</v>
      </c>
      <c r="H8" s="3" t="s">
        <v>1930</v>
      </c>
      <c r="I8">
        <v>53570</v>
      </c>
      <c r="K8" s="3">
        <v>4</v>
      </c>
      <c r="L8">
        <v>19998</v>
      </c>
      <c r="M8">
        <v>6</v>
      </c>
      <c r="O8" s="3" t="s">
        <v>1922</v>
      </c>
      <c r="P8">
        <v>534803</v>
      </c>
      <c r="Q8">
        <v>228</v>
      </c>
    </row>
    <row r="9" spans="1:17" x14ac:dyDescent="0.3">
      <c r="A9" s="3" t="s">
        <v>1922</v>
      </c>
      <c r="B9">
        <v>534803</v>
      </c>
      <c r="D9" s="3" t="s">
        <v>32</v>
      </c>
      <c r="E9">
        <v>66168</v>
      </c>
      <c r="F9">
        <v>27</v>
      </c>
      <c r="H9" s="3" t="s">
        <v>1931</v>
      </c>
      <c r="I9">
        <v>56457</v>
      </c>
      <c r="K9" s="3">
        <v>5</v>
      </c>
      <c r="L9">
        <v>9574</v>
      </c>
      <c r="M9">
        <v>7</v>
      </c>
    </row>
    <row r="10" spans="1:17" x14ac:dyDescent="0.3">
      <c r="D10" s="3" t="s">
        <v>55</v>
      </c>
      <c r="E10">
        <v>57948</v>
      </c>
      <c r="F10">
        <v>29</v>
      </c>
      <c r="H10" s="3" t="s">
        <v>1932</v>
      </c>
      <c r="I10">
        <v>86103</v>
      </c>
      <c r="K10" s="3">
        <v>6</v>
      </c>
      <c r="L10">
        <v>9648</v>
      </c>
      <c r="M10">
        <v>6</v>
      </c>
    </row>
    <row r="11" spans="1:17" x14ac:dyDescent="0.3">
      <c r="D11" s="3" t="s">
        <v>41</v>
      </c>
      <c r="E11">
        <v>63460</v>
      </c>
      <c r="F11">
        <v>30</v>
      </c>
      <c r="H11" s="3" t="s">
        <v>1933</v>
      </c>
      <c r="I11">
        <v>27875</v>
      </c>
      <c r="K11" s="3">
        <v>7</v>
      </c>
      <c r="L11">
        <v>30120</v>
      </c>
      <c r="M11">
        <v>12</v>
      </c>
    </row>
    <row r="12" spans="1:17" x14ac:dyDescent="0.3">
      <c r="D12" s="3" t="s">
        <v>1922</v>
      </c>
      <c r="E12">
        <v>534803</v>
      </c>
      <c r="F12">
        <v>228</v>
      </c>
      <c r="H12" s="3" t="s">
        <v>1934</v>
      </c>
      <c r="I12">
        <v>31967</v>
      </c>
      <c r="K12" s="3">
        <v>8</v>
      </c>
      <c r="L12">
        <v>3351</v>
      </c>
      <c r="M12">
        <v>2</v>
      </c>
    </row>
    <row r="13" spans="1:17" x14ac:dyDescent="0.3">
      <c r="H13" s="3" t="s">
        <v>1935</v>
      </c>
      <c r="I13">
        <v>27984</v>
      </c>
      <c r="K13" s="3">
        <v>9</v>
      </c>
      <c r="L13">
        <v>11003</v>
      </c>
      <c r="M13">
        <v>7</v>
      </c>
    </row>
    <row r="14" spans="1:17" x14ac:dyDescent="0.3">
      <c r="H14" s="3" t="s">
        <v>1936</v>
      </c>
      <c r="I14">
        <v>17147</v>
      </c>
      <c r="K14" s="3">
        <v>10</v>
      </c>
      <c r="L14">
        <v>36894</v>
      </c>
      <c r="M14">
        <v>14</v>
      </c>
    </row>
    <row r="15" spans="1:17" x14ac:dyDescent="0.3">
      <c r="H15" s="3" t="s">
        <v>1937</v>
      </c>
      <c r="I15">
        <v>20191</v>
      </c>
      <c r="K15" s="3">
        <v>11</v>
      </c>
      <c r="L15">
        <v>14116</v>
      </c>
      <c r="M15">
        <v>4</v>
      </c>
    </row>
    <row r="16" spans="1:17" x14ac:dyDescent="0.3">
      <c r="H16" s="3" t="s">
        <v>1922</v>
      </c>
      <c r="I16">
        <v>534803</v>
      </c>
      <c r="K16" s="3">
        <v>12</v>
      </c>
      <c r="L16">
        <v>7772</v>
      </c>
      <c r="M16">
        <v>5</v>
      </c>
    </row>
    <row r="17" spans="11:13" x14ac:dyDescent="0.3">
      <c r="K17" s="3">
        <v>13</v>
      </c>
      <c r="L17">
        <v>13385</v>
      </c>
      <c r="M17">
        <v>5</v>
      </c>
    </row>
    <row r="18" spans="11:13" x14ac:dyDescent="0.3">
      <c r="K18" s="3">
        <v>14</v>
      </c>
      <c r="L18">
        <v>18817</v>
      </c>
      <c r="M18">
        <v>8</v>
      </c>
    </row>
    <row r="19" spans="11:13" x14ac:dyDescent="0.3">
      <c r="K19" s="3">
        <v>15</v>
      </c>
      <c r="L19">
        <v>24704</v>
      </c>
      <c r="M19">
        <v>12</v>
      </c>
    </row>
    <row r="20" spans="11:13" x14ac:dyDescent="0.3">
      <c r="K20" s="3">
        <v>16</v>
      </c>
      <c r="L20">
        <v>12948</v>
      </c>
      <c r="M20">
        <v>7</v>
      </c>
    </row>
    <row r="21" spans="11:13" x14ac:dyDescent="0.3">
      <c r="K21" s="3">
        <v>17</v>
      </c>
      <c r="L21">
        <v>28027</v>
      </c>
      <c r="M21">
        <v>8</v>
      </c>
    </row>
    <row r="22" spans="11:13" x14ac:dyDescent="0.3">
      <c r="K22" s="3">
        <v>18</v>
      </c>
      <c r="L22">
        <v>18183</v>
      </c>
      <c r="M22">
        <v>4</v>
      </c>
    </row>
    <row r="23" spans="11:13" x14ac:dyDescent="0.3">
      <c r="K23" s="3">
        <v>19</v>
      </c>
      <c r="L23">
        <v>25959</v>
      </c>
      <c r="M23">
        <v>9</v>
      </c>
    </row>
    <row r="24" spans="11:13" x14ac:dyDescent="0.3">
      <c r="K24" s="3">
        <v>20</v>
      </c>
      <c r="L24">
        <v>19334</v>
      </c>
      <c r="M24">
        <v>6</v>
      </c>
    </row>
    <row r="25" spans="11:13" x14ac:dyDescent="0.3">
      <c r="K25" s="3">
        <v>21</v>
      </c>
      <c r="L25">
        <v>23636</v>
      </c>
      <c r="M25">
        <v>10</v>
      </c>
    </row>
    <row r="26" spans="11:13" x14ac:dyDescent="0.3">
      <c r="K26" s="3">
        <v>22</v>
      </c>
      <c r="L26">
        <v>10412</v>
      </c>
      <c r="M26">
        <v>5</v>
      </c>
    </row>
    <row r="27" spans="11:13" x14ac:dyDescent="0.3">
      <c r="K27" s="3">
        <v>23</v>
      </c>
      <c r="L27">
        <v>27452</v>
      </c>
      <c r="M27">
        <v>10</v>
      </c>
    </row>
    <row r="28" spans="11:13" x14ac:dyDescent="0.3">
      <c r="K28" s="3">
        <v>24</v>
      </c>
      <c r="L28">
        <v>10726</v>
      </c>
      <c r="M28">
        <v>6</v>
      </c>
    </row>
    <row r="29" spans="11:13" x14ac:dyDescent="0.3">
      <c r="K29" s="3">
        <v>25</v>
      </c>
      <c r="L29">
        <v>22072</v>
      </c>
      <c r="M29">
        <v>11</v>
      </c>
    </row>
    <row r="30" spans="11:13" x14ac:dyDescent="0.3">
      <c r="K30" s="3">
        <v>26</v>
      </c>
      <c r="L30">
        <v>13038</v>
      </c>
      <c r="M30">
        <v>5</v>
      </c>
    </row>
    <row r="31" spans="11:13" x14ac:dyDescent="0.3">
      <c r="K31" s="3">
        <v>27</v>
      </c>
      <c r="L31">
        <v>21646</v>
      </c>
      <c r="M31">
        <v>9</v>
      </c>
    </row>
    <row r="32" spans="11:13" x14ac:dyDescent="0.3">
      <c r="K32" s="3">
        <v>28</v>
      </c>
      <c r="L32">
        <v>11520</v>
      </c>
      <c r="M32">
        <v>5</v>
      </c>
    </row>
    <row r="33" spans="11:13" x14ac:dyDescent="0.3">
      <c r="K33" s="3">
        <v>29</v>
      </c>
      <c r="L33">
        <v>14477</v>
      </c>
      <c r="M33">
        <v>8</v>
      </c>
    </row>
    <row r="34" spans="11:13" x14ac:dyDescent="0.3">
      <c r="K34" s="3">
        <v>30</v>
      </c>
      <c r="L34">
        <v>5306</v>
      </c>
      <c r="M34">
        <v>5</v>
      </c>
    </row>
    <row r="35" spans="11:13" x14ac:dyDescent="0.3">
      <c r="K35" s="3" t="s">
        <v>1922</v>
      </c>
      <c r="L35">
        <v>534803</v>
      </c>
      <c r="M35">
        <v>228</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0C81-4028-4736-915E-1B820AF1D9A0}">
  <dimension ref="A1:Q87"/>
  <sheetViews>
    <sheetView workbookViewId="0">
      <selection activeCell="B87" sqref="B87"/>
    </sheetView>
  </sheetViews>
  <sheetFormatPr defaultRowHeight="14.4" x14ac:dyDescent="0.3"/>
  <cols>
    <col min="1" max="1" width="16.109375" bestFit="1" customWidth="1"/>
    <col min="2" max="2" width="14.21875" bestFit="1" customWidth="1"/>
    <col min="4" max="4" width="12.5546875" bestFit="1" customWidth="1"/>
    <col min="5" max="5" width="14.21875" bestFit="1" customWidth="1"/>
    <col min="6" max="6" width="16" bestFit="1" customWidth="1"/>
    <col min="8" max="8" width="12.5546875" bestFit="1" customWidth="1"/>
    <col min="9" max="9" width="14.21875" bestFit="1" customWidth="1"/>
    <col min="11" max="11" width="12.5546875" bestFit="1" customWidth="1"/>
    <col min="12" max="12" width="14.21875" bestFit="1" customWidth="1"/>
    <col min="13" max="13" width="16" bestFit="1" customWidth="1"/>
    <col min="15" max="15" width="12.5546875" bestFit="1" customWidth="1"/>
    <col min="16" max="16" width="14.21875" bestFit="1" customWidth="1"/>
    <col min="17" max="17" width="16" bestFit="1" customWidth="1"/>
  </cols>
  <sheetData>
    <row r="1" spans="1:17" x14ac:dyDescent="0.3">
      <c r="A1" s="2" t="s">
        <v>7</v>
      </c>
      <c r="B1" t="s">
        <v>1923</v>
      </c>
      <c r="D1" s="2" t="s">
        <v>7</v>
      </c>
      <c r="E1" t="s">
        <v>1923</v>
      </c>
      <c r="H1" s="2" t="s">
        <v>7</v>
      </c>
      <c r="I1" t="s">
        <v>1923</v>
      </c>
      <c r="K1" s="2" t="s">
        <v>7</v>
      </c>
      <c r="L1" t="s">
        <v>1923</v>
      </c>
      <c r="O1" s="2" t="s">
        <v>7</v>
      </c>
      <c r="P1" t="s">
        <v>1923</v>
      </c>
    </row>
    <row r="3" spans="1:17" x14ac:dyDescent="0.3">
      <c r="A3" s="2" t="s">
        <v>1921</v>
      </c>
      <c r="B3" t="s">
        <v>1924</v>
      </c>
      <c r="D3" s="2" t="s">
        <v>1921</v>
      </c>
      <c r="E3" t="s">
        <v>1924</v>
      </c>
      <c r="F3" t="s">
        <v>1925</v>
      </c>
      <c r="H3" s="2" t="s">
        <v>1921</v>
      </c>
      <c r="I3" t="s">
        <v>1924</v>
      </c>
      <c r="K3" s="2" t="s">
        <v>1921</v>
      </c>
      <c r="L3" t="s">
        <v>1924</v>
      </c>
      <c r="M3" t="s">
        <v>1925</v>
      </c>
      <c r="O3" s="2" t="s">
        <v>1921</v>
      </c>
      <c r="P3" t="s">
        <v>1924</v>
      </c>
      <c r="Q3" t="s">
        <v>1925</v>
      </c>
    </row>
    <row r="4" spans="1:17" x14ac:dyDescent="0.3">
      <c r="A4" s="3" t="s">
        <v>47</v>
      </c>
      <c r="B4">
        <v>206699</v>
      </c>
      <c r="D4" s="3" t="s">
        <v>62</v>
      </c>
      <c r="E4">
        <v>204642</v>
      </c>
      <c r="F4">
        <v>78</v>
      </c>
      <c r="H4" s="3" t="s">
        <v>1926</v>
      </c>
      <c r="I4">
        <v>150611</v>
      </c>
      <c r="K4" s="3">
        <v>0</v>
      </c>
      <c r="L4">
        <v>39521</v>
      </c>
      <c r="M4">
        <v>18</v>
      </c>
      <c r="O4" s="3" t="s">
        <v>40</v>
      </c>
      <c r="P4">
        <v>465254</v>
      </c>
      <c r="Q4">
        <v>184</v>
      </c>
    </row>
    <row r="5" spans="1:17" x14ac:dyDescent="0.3">
      <c r="A5" s="3" t="s">
        <v>39</v>
      </c>
      <c r="B5">
        <v>155430</v>
      </c>
      <c r="D5" s="3" t="s">
        <v>25</v>
      </c>
      <c r="E5">
        <v>203547</v>
      </c>
      <c r="F5">
        <v>85</v>
      </c>
      <c r="H5" s="3" t="s">
        <v>1927</v>
      </c>
      <c r="I5">
        <v>160605</v>
      </c>
      <c r="K5" s="3">
        <v>1</v>
      </c>
      <c r="L5">
        <v>29291</v>
      </c>
      <c r="M5">
        <v>16</v>
      </c>
      <c r="O5" s="3" t="s">
        <v>48</v>
      </c>
      <c r="P5">
        <v>351761</v>
      </c>
      <c r="Q5">
        <v>158</v>
      </c>
    </row>
    <row r="6" spans="1:17" x14ac:dyDescent="0.3">
      <c r="A6" s="3" t="s">
        <v>60</v>
      </c>
      <c r="B6">
        <v>87469</v>
      </c>
      <c r="D6" s="3" t="s">
        <v>78</v>
      </c>
      <c r="E6">
        <v>197854</v>
      </c>
      <c r="F6">
        <v>81</v>
      </c>
      <c r="H6" s="3" t="s">
        <v>1928</v>
      </c>
      <c r="I6">
        <v>193681</v>
      </c>
      <c r="K6" s="3">
        <v>2</v>
      </c>
      <c r="L6">
        <v>61510</v>
      </c>
      <c r="M6">
        <v>22</v>
      </c>
      <c r="O6" s="3" t="s">
        <v>24</v>
      </c>
      <c r="P6">
        <v>493852</v>
      </c>
      <c r="Q6">
        <v>192</v>
      </c>
    </row>
    <row r="7" spans="1:17" x14ac:dyDescent="0.3">
      <c r="A7" s="3" t="s">
        <v>325</v>
      </c>
      <c r="B7">
        <v>101782</v>
      </c>
      <c r="D7" s="3" t="s">
        <v>84</v>
      </c>
      <c r="E7">
        <v>266331</v>
      </c>
      <c r="F7">
        <v>102</v>
      </c>
      <c r="H7" s="3" t="s">
        <v>1929</v>
      </c>
      <c r="I7">
        <v>207619</v>
      </c>
      <c r="K7" s="3">
        <v>3</v>
      </c>
      <c r="L7">
        <v>66249</v>
      </c>
      <c r="M7">
        <v>26</v>
      </c>
      <c r="O7" s="3" t="s">
        <v>31</v>
      </c>
      <c r="P7">
        <v>450416</v>
      </c>
      <c r="Q7">
        <v>166</v>
      </c>
    </row>
    <row r="8" spans="1:17" x14ac:dyDescent="0.3">
      <c r="A8" s="3" t="s">
        <v>130</v>
      </c>
      <c r="B8">
        <v>100976</v>
      </c>
      <c r="D8" s="3" t="s">
        <v>125</v>
      </c>
      <c r="E8">
        <v>195959</v>
      </c>
      <c r="F8">
        <v>85</v>
      </c>
      <c r="H8" s="3" t="s">
        <v>1930</v>
      </c>
      <c r="I8">
        <v>164478</v>
      </c>
      <c r="K8" s="3">
        <v>4</v>
      </c>
      <c r="L8">
        <v>48706</v>
      </c>
      <c r="M8">
        <v>20</v>
      </c>
      <c r="O8" s="3" t="s">
        <v>1922</v>
      </c>
      <c r="P8">
        <v>1761283</v>
      </c>
      <c r="Q8">
        <v>700</v>
      </c>
    </row>
    <row r="9" spans="1:17" x14ac:dyDescent="0.3">
      <c r="A9" s="3" t="s">
        <v>77</v>
      </c>
      <c r="B9">
        <v>137002</v>
      </c>
      <c r="D9" s="3" t="s">
        <v>32</v>
      </c>
      <c r="E9">
        <v>253347</v>
      </c>
      <c r="F9">
        <v>95</v>
      </c>
      <c r="H9" s="3" t="s">
        <v>1931</v>
      </c>
      <c r="I9">
        <v>178230</v>
      </c>
      <c r="K9" s="3">
        <v>5</v>
      </c>
      <c r="L9">
        <v>46191</v>
      </c>
      <c r="M9">
        <v>22</v>
      </c>
    </row>
    <row r="10" spans="1:17" x14ac:dyDescent="0.3">
      <c r="A10" s="3" t="s">
        <v>53</v>
      </c>
      <c r="B10">
        <v>144058</v>
      </c>
      <c r="D10" s="3" t="s">
        <v>55</v>
      </c>
      <c r="E10">
        <v>221218</v>
      </c>
      <c r="F10">
        <v>90</v>
      </c>
      <c r="H10" s="3" t="s">
        <v>1932</v>
      </c>
      <c r="I10">
        <v>200525</v>
      </c>
      <c r="K10" s="3">
        <v>6</v>
      </c>
      <c r="L10">
        <v>45709</v>
      </c>
      <c r="M10">
        <v>22</v>
      </c>
    </row>
    <row r="11" spans="1:17" x14ac:dyDescent="0.3">
      <c r="A11" s="3" t="s">
        <v>109</v>
      </c>
      <c r="B11">
        <v>114338</v>
      </c>
      <c r="D11" s="3" t="s">
        <v>41</v>
      </c>
      <c r="E11">
        <v>218385</v>
      </c>
      <c r="F11">
        <v>84</v>
      </c>
      <c r="H11" s="3" t="s">
        <v>1933</v>
      </c>
      <c r="I11">
        <v>137184</v>
      </c>
      <c r="K11" s="3">
        <v>7</v>
      </c>
      <c r="L11">
        <v>76941</v>
      </c>
      <c r="M11">
        <v>31</v>
      </c>
    </row>
    <row r="12" spans="1:17" x14ac:dyDescent="0.3">
      <c r="A12" s="3" t="s">
        <v>22</v>
      </c>
      <c r="B12">
        <v>82409</v>
      </c>
      <c r="D12" s="3" t="s">
        <v>1922</v>
      </c>
      <c r="E12">
        <v>1761283</v>
      </c>
      <c r="F12">
        <v>700</v>
      </c>
      <c r="H12" s="3" t="s">
        <v>1934</v>
      </c>
      <c r="I12">
        <v>91866</v>
      </c>
      <c r="K12" s="3">
        <v>8</v>
      </c>
      <c r="L12">
        <v>36264</v>
      </c>
      <c r="M12">
        <v>13</v>
      </c>
    </row>
    <row r="13" spans="1:17" x14ac:dyDescent="0.3">
      <c r="A13" s="3" t="s">
        <v>114</v>
      </c>
      <c r="B13">
        <v>96317</v>
      </c>
      <c r="H13" s="3" t="s">
        <v>1935</v>
      </c>
      <c r="I13">
        <v>85871</v>
      </c>
      <c r="K13" s="3">
        <v>9</v>
      </c>
      <c r="L13">
        <v>37866</v>
      </c>
      <c r="M13">
        <v>21</v>
      </c>
    </row>
    <row r="14" spans="1:17" x14ac:dyDescent="0.3">
      <c r="A14" s="3" t="s">
        <v>83</v>
      </c>
      <c r="B14">
        <v>97734</v>
      </c>
      <c r="H14" s="3" t="s">
        <v>1936</v>
      </c>
      <c r="I14">
        <v>80616</v>
      </c>
      <c r="K14" s="3">
        <v>10</v>
      </c>
      <c r="L14">
        <v>76853</v>
      </c>
      <c r="M14">
        <v>30</v>
      </c>
    </row>
    <row r="15" spans="1:17" x14ac:dyDescent="0.3">
      <c r="A15" s="3" t="s">
        <v>119</v>
      </c>
      <c r="B15">
        <v>90973</v>
      </c>
      <c r="H15" s="3" t="s">
        <v>1937</v>
      </c>
      <c r="I15">
        <v>109997</v>
      </c>
      <c r="K15" s="3">
        <v>11</v>
      </c>
      <c r="L15">
        <v>56602</v>
      </c>
      <c r="M15">
        <v>20</v>
      </c>
    </row>
    <row r="16" spans="1:17" x14ac:dyDescent="0.3">
      <c r="A16" s="3" t="s">
        <v>72</v>
      </c>
      <c r="B16">
        <v>116409</v>
      </c>
      <c r="H16" s="3" t="s">
        <v>1922</v>
      </c>
      <c r="I16">
        <v>1761283</v>
      </c>
      <c r="K16" s="3">
        <v>12</v>
      </c>
      <c r="L16">
        <v>57547</v>
      </c>
      <c r="M16">
        <v>19</v>
      </c>
    </row>
    <row r="17" spans="1:13" x14ac:dyDescent="0.3">
      <c r="A17" s="3" t="s">
        <v>96</v>
      </c>
      <c r="B17">
        <v>108091</v>
      </c>
      <c r="K17" s="3">
        <v>13</v>
      </c>
      <c r="L17">
        <v>64491</v>
      </c>
      <c r="M17">
        <v>23</v>
      </c>
    </row>
    <row r="18" spans="1:13" x14ac:dyDescent="0.3">
      <c r="A18" s="3" t="s">
        <v>124</v>
      </c>
      <c r="B18">
        <v>121596</v>
      </c>
      <c r="K18" s="3">
        <v>14</v>
      </c>
      <c r="L18">
        <v>82536</v>
      </c>
      <c r="M18">
        <v>27</v>
      </c>
    </row>
    <row r="19" spans="1:13" x14ac:dyDescent="0.3">
      <c r="A19" s="3" t="s">
        <v>1922</v>
      </c>
      <c r="B19">
        <v>1761283</v>
      </c>
      <c r="K19" s="3">
        <v>15</v>
      </c>
      <c r="L19">
        <v>67806</v>
      </c>
      <c r="M19">
        <v>31</v>
      </c>
    </row>
    <row r="20" spans="1:13" x14ac:dyDescent="0.3">
      <c r="K20" s="3">
        <v>16</v>
      </c>
      <c r="L20">
        <v>53099</v>
      </c>
      <c r="M20">
        <v>25</v>
      </c>
    </row>
    <row r="21" spans="1:13" x14ac:dyDescent="0.3">
      <c r="K21" s="3">
        <v>17</v>
      </c>
      <c r="L21">
        <v>61257</v>
      </c>
      <c r="M21">
        <v>21</v>
      </c>
    </row>
    <row r="22" spans="1:13" x14ac:dyDescent="0.3">
      <c r="K22" s="3">
        <v>18</v>
      </c>
      <c r="L22">
        <v>44784</v>
      </c>
      <c r="M22">
        <v>14</v>
      </c>
    </row>
    <row r="23" spans="1:13" x14ac:dyDescent="0.3">
      <c r="K23" s="3">
        <v>19</v>
      </c>
      <c r="L23">
        <v>54401</v>
      </c>
      <c r="M23">
        <v>21</v>
      </c>
    </row>
    <row r="24" spans="1:13" x14ac:dyDescent="0.3">
      <c r="K24" s="3">
        <v>20</v>
      </c>
      <c r="L24">
        <v>58144</v>
      </c>
      <c r="M24">
        <v>17</v>
      </c>
    </row>
    <row r="25" spans="1:13" x14ac:dyDescent="0.3">
      <c r="K25" s="3">
        <v>21</v>
      </c>
      <c r="L25">
        <v>84875</v>
      </c>
      <c r="M25">
        <v>30</v>
      </c>
    </row>
    <row r="26" spans="1:13" x14ac:dyDescent="0.3">
      <c r="K26" s="3">
        <v>22</v>
      </c>
      <c r="L26">
        <v>51286</v>
      </c>
      <c r="M26">
        <v>23</v>
      </c>
    </row>
    <row r="27" spans="1:13" x14ac:dyDescent="0.3">
      <c r="K27" s="3">
        <v>23</v>
      </c>
      <c r="L27">
        <v>65905</v>
      </c>
      <c r="M27">
        <v>23</v>
      </c>
    </row>
    <row r="28" spans="1:13" x14ac:dyDescent="0.3">
      <c r="K28" s="3">
        <v>24</v>
      </c>
      <c r="L28">
        <v>42647</v>
      </c>
      <c r="M28">
        <v>23</v>
      </c>
    </row>
    <row r="29" spans="1:13" x14ac:dyDescent="0.3">
      <c r="K29" s="3">
        <v>25</v>
      </c>
      <c r="L29">
        <v>73854</v>
      </c>
      <c r="M29">
        <v>30</v>
      </c>
    </row>
    <row r="30" spans="1:13" x14ac:dyDescent="0.3">
      <c r="K30" s="3">
        <v>26</v>
      </c>
      <c r="L30">
        <v>57637</v>
      </c>
      <c r="M30">
        <v>23</v>
      </c>
    </row>
    <row r="31" spans="1:13" x14ac:dyDescent="0.3">
      <c r="K31" s="3">
        <v>27</v>
      </c>
      <c r="L31">
        <v>68311</v>
      </c>
      <c r="M31">
        <v>24</v>
      </c>
    </row>
    <row r="32" spans="1:13" x14ac:dyDescent="0.3">
      <c r="K32" s="3">
        <v>28</v>
      </c>
      <c r="L32">
        <v>58244</v>
      </c>
      <c r="M32">
        <v>22</v>
      </c>
    </row>
    <row r="33" spans="11:13" x14ac:dyDescent="0.3">
      <c r="K33" s="3">
        <v>29</v>
      </c>
      <c r="L33">
        <v>40027</v>
      </c>
      <c r="M33">
        <v>20</v>
      </c>
    </row>
    <row r="34" spans="11:13" x14ac:dyDescent="0.3">
      <c r="K34" s="3">
        <v>30</v>
      </c>
      <c r="L34">
        <v>52729</v>
      </c>
      <c r="M34">
        <v>23</v>
      </c>
    </row>
    <row r="35" spans="11:13" x14ac:dyDescent="0.3">
      <c r="K35" s="3" t="s">
        <v>1922</v>
      </c>
      <c r="L35">
        <v>1761283</v>
      </c>
      <c r="M35">
        <v>700</v>
      </c>
    </row>
    <row r="87" spans="2:2" x14ac:dyDescent="0.3">
      <c r="B87" t="s">
        <v>1938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Dashboard</vt:lpstr>
      <vt:lpstr>Lakme</vt:lpstr>
      <vt:lpstr>Sugar</vt:lpstr>
      <vt:lpstr>Nykaa</vt:lpstr>
      <vt:lpstr>Table </vt:lpstr>
      <vt:lpstr>Pivot 1</vt:lpstr>
      <vt:lpstr>Pivot 2</vt:lpstr>
      <vt:lpstr>Pivot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kritikasingh7498@outlook.com</dc:creator>
  <cp:lastModifiedBy>kritikasingh7498@outlook.com</cp:lastModifiedBy>
  <dcterms:created xsi:type="dcterms:W3CDTF">2025-09-01T02:56:10Z</dcterms:created>
  <dcterms:modified xsi:type="dcterms:W3CDTF">2025-11-27T15:10:44Z</dcterms:modified>
</cp:coreProperties>
</file>